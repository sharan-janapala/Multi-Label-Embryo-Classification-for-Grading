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aran\OneDrive\Desktop\Project 2\"/>
    </mc:Choice>
  </mc:AlternateContent>
  <xr:revisionPtr revIDLastSave="0" documentId="13_ncr:1_{15BC9978-8099-483B-8FCF-CD05E9ACA8B8}" xr6:coauthVersionLast="47" xr6:coauthVersionMax="47" xr10:uidLastSave="{00000000-0000-0000-0000-000000000000}"/>
  <bookViews>
    <workbookView xWindow="-108" yWindow="-108" windowWidth="23256" windowHeight="12456" xr2:uid="{00000000-000D-0000-FFFF-FFFF00000000}"/>
  </bookViews>
  <sheets>
    <sheet name="Research Articles Tracker Temp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 l="1"/>
  <c r="B10" i="1"/>
  <c r="E10" i="1"/>
  <c r="B9" i="1"/>
  <c r="B8" i="1"/>
  <c r="B7" i="1"/>
  <c r="E7" i="1"/>
  <c r="B6" i="1"/>
  <c r="B5" i="1"/>
  <c r="E3" i="1"/>
  <c r="B3" i="1"/>
  <c r="B2" i="1"/>
  <c r="B4" i="1"/>
</calcChain>
</file>

<file path=xl/sharedStrings.xml><?xml version="1.0" encoding="utf-8"?>
<sst xmlns="http://schemas.openxmlformats.org/spreadsheetml/2006/main" count="76" uniqueCount="76">
  <si>
    <t>S.No</t>
  </si>
  <si>
    <t>Research Article URL</t>
  </si>
  <si>
    <t>Business Problem</t>
  </si>
  <si>
    <t>Data set used &amp; variables used</t>
  </si>
  <si>
    <t>Download Data (if available)</t>
  </si>
  <si>
    <t>Solution approach</t>
  </si>
  <si>
    <t>Machine learning models used</t>
  </si>
  <si>
    <t>Accuracy Achieved</t>
  </si>
  <si>
    <t>Any interesting insights</t>
  </si>
  <si>
    <t>The IVF embryo selection process suffers from high subjectivity, limited labeled data, and inconsistent grading across embryologists, reducing overall IVF success rates. The business problem is to create a reliable, non-invasive, and scalable method to predict embryo viability and improve ART outcomes.</t>
  </si>
  <si>
    <r>
      <t xml:space="preserve">The authors introduce </t>
    </r>
    <r>
      <rPr>
        <b/>
        <sz val="10"/>
        <color rgb="FF000000"/>
        <rFont val="Arial"/>
        <scheme val="minor"/>
      </rPr>
      <t>IVFormer</t>
    </r>
    <r>
      <rPr>
        <sz val="10"/>
        <color rgb="FF000000"/>
        <rFont val="Arial"/>
        <scheme val="minor"/>
      </rPr>
      <t xml:space="preserve">, a transformer model pretrained with </t>
    </r>
    <r>
      <rPr>
        <b/>
        <sz val="10"/>
        <color rgb="FF000000"/>
        <rFont val="Arial"/>
        <scheme val="minor"/>
      </rPr>
      <t>VTCLR</t>
    </r>
    <r>
      <rPr>
        <sz val="10"/>
        <color rgb="FF000000"/>
        <rFont val="Arial"/>
        <scheme val="minor"/>
      </rPr>
      <t xml:space="preserve"> to learn from unlabeled embryo images and videos, then fine-tuned for morphology, ploidy, and live-birth prediction—creating a unified, non-invasive AI system for embryo selection.</t>
    </r>
  </si>
  <si>
    <t xml:space="preserve">The study uses the CC-ARTI IVF dataset containing 41,000 embryo images,2,136 time-lapse videos, and clinical variables (age, BMI, AMH, morphology, ploidy, and live-birth outcomes) </t>
  </si>
  <si>
    <t>Access requires contacting the lead author and approval from a Data Access Committee.</t>
  </si>
  <si>
    <r>
      <t xml:space="preserve">The study uses </t>
    </r>
    <r>
      <rPr>
        <b/>
        <sz val="10"/>
        <color rgb="FF000000"/>
        <rFont val="Arial"/>
        <scheme val="minor"/>
      </rPr>
      <t>IVFormer</t>
    </r>
    <r>
      <rPr>
        <sz val="10"/>
        <color rgb="FF000000"/>
        <rFont val="Arial"/>
        <scheme val="minor"/>
      </rPr>
      <t xml:space="preserve">, an image–video transformer for morphology, ploidy, and live-birth prediction, with </t>
    </r>
    <r>
      <rPr>
        <b/>
        <sz val="10"/>
        <color rgb="FF000000"/>
        <rFont val="Arial"/>
        <scheme val="minor"/>
      </rPr>
      <t>Swin Transformer</t>
    </r>
    <r>
      <rPr>
        <sz val="10"/>
        <color rgb="FF000000"/>
        <rFont val="Arial"/>
        <scheme val="minor"/>
      </rPr>
      <t xml:space="preserve"> as its visual encoder. A </t>
    </r>
    <r>
      <rPr>
        <b/>
        <sz val="10"/>
        <color rgb="FF000000"/>
        <rFont val="Arial"/>
        <scheme val="minor"/>
      </rPr>
      <t>U-Net</t>
    </r>
    <r>
      <rPr>
        <sz val="10"/>
        <color rgb="FF000000"/>
        <rFont val="Arial"/>
        <scheme val="minor"/>
      </rPr>
      <t xml:space="preserve"> model preprocesses and crops embryo regions, while </t>
    </r>
    <r>
      <rPr>
        <b/>
        <sz val="10"/>
        <color rgb="FF000000"/>
        <rFont val="Arial"/>
        <scheme val="minor"/>
      </rPr>
      <t>VTCLR</t>
    </r>
    <r>
      <rPr>
        <sz val="10"/>
        <color rgb="FF000000"/>
        <rFont val="Arial"/>
        <scheme val="minor"/>
      </rPr>
      <t xml:space="preserve"> pretrains the system using unlabeled images and videos. A </t>
    </r>
    <r>
      <rPr>
        <b/>
        <sz val="10"/>
        <color rgb="FF000000"/>
        <rFont val="Arial"/>
        <scheme val="minor"/>
      </rPr>
      <t>Random Forest</t>
    </r>
    <r>
      <rPr>
        <sz val="10"/>
        <color rgb="FF000000"/>
        <rFont val="Arial"/>
        <scheme val="minor"/>
      </rPr>
      <t xml:space="preserve"> model serves as a baseline for metadata-only predictions.</t>
    </r>
  </si>
  <si>
    <t>Morphology grading: AUC up to 0.989,Ploidy prediction: Combined AI model achieved AUC 0.811,Live-birth prediction: Image + metadata model achieved AUC 0.854 on external validation.</t>
  </si>
  <si>
    <r>
      <t xml:space="preserve">AI-ranked top embryos showed a </t>
    </r>
    <r>
      <rPr>
        <b/>
        <sz val="10"/>
        <color rgb="FF000000"/>
        <rFont val="Arial"/>
        <scheme val="minor"/>
      </rPr>
      <t>20.7% higher euploidy rate</t>
    </r>
    <r>
      <rPr>
        <sz val="10"/>
        <color rgb="FF000000"/>
        <rFont val="Arial"/>
        <scheme val="minor"/>
      </rPr>
      <t xml:space="preserve"> than those selected by embryologists, and the model’s attention maps focused on biologically meaningful embryo structures—indicating both superior performance and strong interpretability.</t>
    </r>
  </si>
  <si>
    <r>
      <t xml:space="preserve">Embryo selection is difficult because embryos that appear morphologically identical can have different implantation outcomes. The study aims to use deep learning to distinguish subtle morphological and morphokinetic differences between </t>
    </r>
    <r>
      <rPr>
        <b/>
        <sz val="10"/>
        <color rgb="FF000000"/>
        <rFont val="Arial"/>
        <scheme val="minor"/>
      </rPr>
      <t>matched high-quality embryos</t>
    </r>
    <r>
      <rPr>
        <sz val="10"/>
        <color rgb="FF000000"/>
        <rFont val="Arial"/>
        <scheme val="minor"/>
      </rPr>
      <t xml:space="preserve"> with different implantation success.</t>
    </r>
  </si>
  <si>
    <r>
      <t xml:space="preserve">The dataset includes </t>
    </r>
    <r>
      <rPr>
        <b/>
        <sz val="10"/>
        <color rgb="FF000000"/>
        <rFont val="Arial"/>
        <scheme val="minor"/>
      </rPr>
      <t>1580 embryo time-lapse videos</t>
    </r>
    <r>
      <rPr>
        <sz val="10"/>
        <color rgb="FF000000"/>
        <rFont val="Arial"/>
        <scheme val="minor"/>
      </rPr>
      <t xml:space="preserve"> from 460 patients, with matched KID-positive and KID-negative embryos, along with morphokinetic timing events (t2–tB). Videos were captured every 10 minutes across cleavage and blastocyst stages.</t>
    </r>
  </si>
  <si>
    <r>
      <t xml:space="preserve">The dataset is </t>
    </r>
    <r>
      <rPr>
        <b/>
        <sz val="10"/>
        <color rgb="FF000000"/>
        <rFont val="Arial"/>
        <scheme val="minor"/>
      </rPr>
      <t>not publicly downloadable</t>
    </r>
    <r>
      <rPr>
        <sz val="10"/>
        <color rgb="FF000000"/>
        <rFont val="Arial"/>
        <scheme val="minor"/>
      </rPr>
      <t xml:space="preserve"> and is available only upon request from the authors due to privacy and ethics restrictions.</t>
    </r>
  </si>
  <si>
    <r>
      <t xml:space="preserve">A multi-model pipeline is built using </t>
    </r>
    <r>
      <rPr>
        <b/>
        <sz val="10"/>
        <color rgb="FF000000"/>
        <rFont val="Arial"/>
        <scheme val="minor"/>
      </rPr>
      <t>SimCLR</t>
    </r>
    <r>
      <rPr>
        <sz val="10"/>
        <color rgb="FF000000"/>
        <rFont val="Arial"/>
        <scheme val="minor"/>
      </rPr>
      <t xml:space="preserve"> for morphological feature learning, a </t>
    </r>
    <r>
      <rPr>
        <b/>
        <sz val="10"/>
        <color rgb="FF000000"/>
        <rFont val="Arial"/>
        <scheme val="minor"/>
      </rPr>
      <t>Siamese LSTM</t>
    </r>
    <r>
      <rPr>
        <sz val="10"/>
        <color rgb="FF000000"/>
        <rFont val="Arial"/>
        <scheme val="minor"/>
      </rPr>
      <t xml:space="preserve"> for morphokinetic temporal patterns, and </t>
    </r>
    <r>
      <rPr>
        <b/>
        <sz val="10"/>
        <color rgb="FF000000"/>
        <rFont val="Arial"/>
        <scheme val="minor"/>
      </rPr>
      <t>XGBoost</t>
    </r>
    <r>
      <rPr>
        <sz val="10"/>
        <color rgb="FF000000"/>
        <rFont val="Arial"/>
        <scheme val="minor"/>
      </rPr>
      <t xml:space="preserve"> for implantation prediction. Embryos are automatically detected and cropped using </t>
    </r>
    <r>
      <rPr>
        <b/>
        <sz val="10"/>
        <color rgb="FF000000"/>
        <rFont val="Arial"/>
        <scheme val="minor"/>
      </rPr>
      <t>YOLOv6</t>
    </r>
    <r>
      <rPr>
        <sz val="10"/>
        <color rgb="FF000000"/>
        <rFont val="Arial"/>
        <scheme val="minor"/>
      </rPr>
      <t xml:space="preserve"> before feature extraction.</t>
    </r>
  </si>
  <si>
    <t>Even among embryos graded as high-quality, AI uncovered subtle morphokinetic differences influencing implantation, though no single universal timing pattern distinguished successful from unsuccessful embryos. Feature clustering showed high overlap, proving the task’s difficulty.</t>
  </si>
  <si>
    <t>Manual Day-3 embryo grading is subjective and inconsistent due to variability in assessing symmetry, cell number, and fragmentation. The study aims to create an automated, objective, and accurate embryo quality assessment system to reduce observer bias and improve IVF decision-making.</t>
  </si>
  <si>
    <r>
      <t xml:space="preserve">The model is trained on </t>
    </r>
    <r>
      <rPr>
        <b/>
        <sz val="10"/>
        <color rgb="FF000000"/>
        <rFont val="Arial"/>
        <scheme val="minor"/>
      </rPr>
      <t>220 Day-3 embryo images</t>
    </r>
    <r>
      <rPr>
        <sz val="10"/>
        <color rgb="FF000000"/>
        <rFont val="Arial"/>
        <scheme val="minor"/>
      </rPr>
      <t xml:space="preserve"> from the </t>
    </r>
    <r>
      <rPr>
        <b/>
        <sz val="10"/>
        <color rgb="FF000000"/>
        <rFont val="Arial"/>
        <scheme val="minor"/>
      </rPr>
      <t>Kaggle World Championship 2023 Embryo Classification dataset</t>
    </r>
    <r>
      <rPr>
        <sz val="10"/>
        <color rgb="FF000000"/>
        <rFont val="Arial"/>
        <scheme val="minor"/>
      </rPr>
      <t>, labeled into Grades A, B, C, and D by expert embryologists.</t>
    </r>
  </si>
  <si>
    <t>The model uses a dual-branch CNN:Branch 1 extracts spatial features with a modified EfficientNet.Branch 2 computes morphological features via automatic bounding-box-based annotation, symmetry scoring, and fragmentation percentage—no manual annotation needed.Both branches are usedfor final classification.</t>
  </si>
  <si>
    <r>
      <t xml:space="preserve">The study uses </t>
    </r>
    <r>
      <rPr>
        <b/>
        <sz val="10"/>
        <color rgb="FF000000"/>
        <rFont val="Arial"/>
        <scheme val="minor"/>
      </rPr>
      <t>EfficientNet</t>
    </r>
    <r>
      <rPr>
        <sz val="10"/>
        <color rgb="FF000000"/>
        <rFont val="Arial"/>
        <scheme val="minor"/>
      </rPr>
      <t xml:space="preserve"> to extract spatial embryo image features, while a custom </t>
    </r>
    <r>
      <rPr>
        <b/>
        <sz val="10"/>
        <color rgb="FF000000"/>
        <rFont val="Arial"/>
        <scheme val="minor"/>
      </rPr>
      <t>Bounding-Box Morphological Feature Extraction Module</t>
    </r>
    <r>
      <rPr>
        <sz val="10"/>
        <color rgb="FF000000"/>
        <rFont val="Arial"/>
        <scheme val="minor"/>
      </rPr>
      <t xml:space="preserve"> computes fragmentation percentage, symmetry metrics, and blastomere count. These two branches are combined into the proposed </t>
    </r>
    <r>
      <rPr>
        <b/>
        <sz val="10"/>
        <color rgb="FF000000"/>
        <rFont val="Arial"/>
        <scheme val="minor"/>
      </rPr>
      <t>Dual-Branch CNN model</t>
    </r>
    <r>
      <rPr>
        <sz val="10"/>
        <color rgb="FF000000"/>
        <rFont val="Arial"/>
        <scheme val="minor"/>
      </rPr>
      <t xml:space="preserve"> for final embryo grade prediction. For benchmarking, the authors also evaluate standard CNNs including </t>
    </r>
    <r>
      <rPr>
        <b/>
        <sz val="10"/>
        <color rgb="FF000000"/>
        <rFont val="Arial"/>
        <scheme val="minor"/>
      </rPr>
      <t>VGG16</t>
    </r>
    <r>
      <rPr>
        <sz val="10"/>
        <color rgb="FF000000"/>
        <rFont val="Arial"/>
        <scheme val="minor"/>
      </rPr>
      <t xml:space="preserve">, </t>
    </r>
    <r>
      <rPr>
        <b/>
        <sz val="10"/>
        <color rgb="FF000000"/>
        <rFont val="Arial"/>
        <scheme val="minor"/>
      </rPr>
      <t>ResNet50</t>
    </r>
    <r>
      <rPr>
        <sz val="10"/>
        <color rgb="FF000000"/>
        <rFont val="Arial"/>
        <scheme val="minor"/>
      </rPr>
      <t xml:space="preserve">, </t>
    </r>
    <r>
      <rPr>
        <b/>
        <sz val="10"/>
        <color rgb="FF000000"/>
        <rFont val="Arial"/>
        <scheme val="minor"/>
      </rPr>
      <t>MobileNetV2</t>
    </r>
    <r>
      <rPr>
        <sz val="10"/>
        <color rgb="FF000000"/>
        <rFont val="Arial"/>
        <scheme val="minor"/>
      </rPr>
      <t xml:space="preserve">, and </t>
    </r>
    <r>
      <rPr>
        <b/>
        <sz val="10"/>
        <color rgb="FF000000"/>
        <rFont val="Arial"/>
        <scheme val="minor"/>
      </rPr>
      <t>InceptionV3</t>
    </r>
    <r>
      <rPr>
        <sz val="10"/>
        <color rgb="FF000000"/>
        <rFont val="Arial"/>
        <scheme val="minor"/>
      </rPr>
      <t>, each used solely for comparison against the proposed system.</t>
    </r>
  </si>
  <si>
    <t>Integrating spatial CNN features with automatically extracted morphological metrics significantly boosts accuracy compared to using images alone. The model also shows strong robustness to lighting, contrast, magnification, and noise variations—supporting real-clinic deployment.</t>
  </si>
  <si>
    <r>
      <rPr>
        <b/>
        <sz val="10"/>
        <color rgb="FF000000"/>
        <rFont val="Arial"/>
        <family val="2"/>
        <scheme val="minor"/>
      </rPr>
      <t>SimCLR</t>
    </r>
    <r>
      <rPr>
        <sz val="10"/>
        <color rgb="FF000000"/>
        <rFont val="Arial"/>
        <scheme val="minor"/>
      </rPr>
      <t xml:space="preserve"> (with VGG16/ResNet18 encoders) learns image-based features, </t>
    </r>
    <r>
      <rPr>
        <b/>
        <sz val="10"/>
        <color rgb="FF000000"/>
        <rFont val="Arial"/>
        <family val="2"/>
        <scheme val="minor"/>
      </rPr>
      <t>YOLOv6</t>
    </r>
    <r>
      <rPr>
        <sz val="10"/>
        <color rgb="FF000000"/>
        <rFont val="Arial"/>
        <scheme val="minor"/>
      </rPr>
      <t xml:space="preserve"> performs automatic embryo detection, and a Siamese </t>
    </r>
    <r>
      <rPr>
        <b/>
        <sz val="10"/>
        <color rgb="FF000000"/>
        <rFont val="Arial"/>
        <family val="2"/>
        <scheme val="minor"/>
      </rPr>
      <t>LSTM</t>
    </r>
    <r>
      <rPr>
        <sz val="10"/>
        <color rgb="FF000000"/>
        <rFont val="Arial"/>
        <scheme val="minor"/>
      </rPr>
      <t xml:space="preserve"> extracts morphokinetic patterns. </t>
    </r>
    <r>
      <rPr>
        <b/>
        <sz val="10"/>
        <color rgb="FF000000"/>
        <rFont val="Arial"/>
        <family val="2"/>
        <scheme val="minor"/>
      </rPr>
      <t>XGBoost</t>
    </r>
    <r>
      <rPr>
        <sz val="10"/>
        <color rgb="FF000000"/>
        <rFont val="Arial"/>
        <scheme val="minor"/>
      </rPr>
      <t xml:space="preserve"> is used as the final classifier for implantation prediction.</t>
    </r>
  </si>
  <si>
    <r>
      <t xml:space="preserve">The final model combining </t>
    </r>
    <r>
      <rPr>
        <b/>
        <sz val="10"/>
        <color rgb="FF000000"/>
        <rFont val="Arial"/>
        <family val="2"/>
        <scheme val="minor"/>
      </rPr>
      <t>SimCLR</t>
    </r>
    <r>
      <rPr>
        <sz val="10"/>
        <color rgb="FF000000"/>
        <rFont val="Arial"/>
        <scheme val="minor"/>
      </rPr>
      <t xml:space="preserve"> + Siamese </t>
    </r>
    <r>
      <rPr>
        <b/>
        <sz val="10"/>
        <color rgb="FF000000"/>
        <rFont val="Arial"/>
        <family val="2"/>
        <scheme val="minor"/>
      </rPr>
      <t>LSTM</t>
    </r>
    <r>
      <rPr>
        <sz val="10"/>
        <color rgb="FF000000"/>
        <rFont val="Arial"/>
        <scheme val="minor"/>
      </rPr>
      <t xml:space="preserve"> + </t>
    </r>
    <r>
      <rPr>
        <b/>
        <sz val="10"/>
        <color rgb="FF000000"/>
        <rFont val="Arial"/>
        <family val="2"/>
        <scheme val="minor"/>
      </rPr>
      <t>XGBoost</t>
    </r>
    <r>
      <rPr>
        <sz val="10"/>
        <color rgb="FF000000"/>
        <rFont val="Arial"/>
        <scheme val="minor"/>
      </rPr>
      <t xml:space="preserve"> achieved </t>
    </r>
    <r>
      <rPr>
        <b/>
        <sz val="10"/>
        <color rgb="FF000000"/>
        <rFont val="Arial"/>
        <scheme val="minor"/>
      </rPr>
      <t>AUC 0.64</t>
    </r>
    <r>
      <rPr>
        <sz val="10"/>
        <color rgb="FF000000"/>
        <rFont val="Arial"/>
        <scheme val="minor"/>
      </rPr>
      <t xml:space="preserve"> without prior outcome knowledge and </t>
    </r>
    <r>
      <rPr>
        <b/>
        <sz val="10"/>
        <color rgb="FF000000"/>
        <rFont val="Arial"/>
        <scheme val="minor"/>
      </rPr>
      <t>AUC 0.57</t>
    </r>
    <r>
      <rPr>
        <sz val="10"/>
        <color rgb="FF000000"/>
        <rFont val="Arial"/>
        <scheme val="minor"/>
      </rPr>
      <t xml:space="preserve"> when predicting implantation within matched embryo pairs.</t>
    </r>
  </si>
  <si>
    <r>
      <t xml:space="preserve">Spontaneous abortion after IVF is emotionally and financially burdensome, and current embryo selection cannot reliably predict which embryos will miscarry. This study evaluates whether an AI system (ERICA) using only </t>
    </r>
    <r>
      <rPr>
        <b/>
        <sz val="10"/>
        <color rgb="FF000000"/>
        <rFont val="Arial"/>
        <family val="2"/>
        <scheme val="minor"/>
      </rPr>
      <t>static blastocyst images</t>
    </r>
    <r>
      <rPr>
        <sz val="10"/>
        <color rgb="FF000000"/>
        <rFont val="Arial"/>
        <family val="2"/>
        <scheme val="minor"/>
      </rPr>
      <t xml:space="preserve"> can help predict first-trimester pregnancy loss among embryos that already achieved biochemical pregnancy.</t>
    </r>
  </si>
  <si>
    <r>
      <t xml:space="preserve">The study uses </t>
    </r>
    <r>
      <rPr>
        <b/>
        <sz val="10"/>
        <color rgb="FF000000"/>
        <rFont val="Arial"/>
        <family val="2"/>
        <scheme val="minor"/>
      </rPr>
      <t>172 blastocyst images</t>
    </r>
    <r>
      <rPr>
        <sz val="10"/>
        <color rgb="FF000000"/>
        <rFont val="Arial"/>
        <family val="2"/>
        <scheme val="minor"/>
      </rPr>
      <t xml:space="preserve"> from single embryo transfer cycles performed at two IVF clinics in Mexico. All embryos resulted in a positive biochemical pregnancy and had fetal heartbeat (FHB) outcome recorded.</t>
    </r>
  </si>
  <si>
    <r>
      <t xml:space="preserve">The embryo images were uploaded to the </t>
    </r>
    <r>
      <rPr>
        <b/>
        <sz val="10"/>
        <color rgb="FF000000"/>
        <rFont val="Arial"/>
        <family val="2"/>
        <scheme val="minor"/>
      </rPr>
      <t>ERICA web application</t>
    </r>
    <r>
      <rPr>
        <sz val="10"/>
        <color rgb="FF000000"/>
        <rFont val="Arial"/>
        <family val="2"/>
        <scheme val="minor"/>
      </rPr>
      <t xml:space="preserve">, and the dataset is </t>
    </r>
    <r>
      <rPr>
        <b/>
        <sz val="10"/>
        <color rgb="FF000000"/>
        <rFont val="Arial"/>
        <family val="2"/>
        <scheme val="minor"/>
      </rPr>
      <t>not publicly available</t>
    </r>
    <r>
      <rPr>
        <sz val="10"/>
        <color rgb="FF000000"/>
        <rFont val="Arial"/>
        <family val="2"/>
        <scheme val="minor"/>
      </rPr>
      <t xml:space="preserve">; the paper states data may be provided </t>
    </r>
    <r>
      <rPr>
        <b/>
        <sz val="10"/>
        <color rgb="FF000000"/>
        <rFont val="Arial"/>
        <family val="2"/>
        <scheme val="minor"/>
      </rPr>
      <t>on request</t>
    </r>
    <r>
      <rPr>
        <sz val="10"/>
        <color rgb="FF000000"/>
        <rFont val="Arial"/>
        <family val="2"/>
        <scheme val="minor"/>
      </rPr>
      <t>.</t>
    </r>
  </si>
  <si>
    <r>
      <t xml:space="preserve">The ERICA AI algorithm analyzes static embryo images by preprocessing, applying kernel filters, and </t>
    </r>
    <r>
      <rPr>
        <b/>
        <sz val="10"/>
        <color rgb="FF000000"/>
        <rFont val="Arial"/>
        <family val="2"/>
        <scheme val="minor"/>
      </rPr>
      <t>segmenting embryos into four regions</t>
    </r>
    <r>
      <rPr>
        <sz val="10"/>
        <color rgb="FF000000"/>
        <rFont val="Arial"/>
        <family val="2"/>
        <scheme val="minor"/>
      </rPr>
      <t xml:space="preserve"> (background, zona pellucida, trophectoderm, inner cell mass). It extracts 94 morphometric features and uses a </t>
    </r>
    <r>
      <rPr>
        <b/>
        <sz val="10"/>
        <color rgb="FF000000"/>
        <rFont val="Arial"/>
        <family val="2"/>
        <scheme val="minor"/>
      </rPr>
      <t>deep neural network classifier</t>
    </r>
    <r>
      <rPr>
        <sz val="10"/>
        <color rgb="FF000000"/>
        <rFont val="Arial"/>
        <family val="2"/>
        <scheme val="minor"/>
      </rPr>
      <t xml:space="preserve"> to rank embryos as optimal, good, fair, or poor. This ranking is tested for its ability to predict spontaneous abortion.</t>
    </r>
  </si>
  <si>
    <r>
      <t xml:space="preserve">Embryos ranked as optimal/good by ERICA had a significantly lower miscarriage rate (16.1%) than fair/poor embryos (25%). Surprisingly, miscarriage rates </t>
    </r>
    <r>
      <rPr>
        <b/>
        <sz val="10"/>
        <color rgb="FF000000"/>
        <rFont val="Arial"/>
        <family val="2"/>
        <scheme val="minor"/>
      </rPr>
      <t>decreased</t>
    </r>
    <r>
      <rPr>
        <sz val="10"/>
        <color rgb="FF000000"/>
        <rFont val="Arial"/>
        <family val="2"/>
        <scheme val="minor"/>
      </rPr>
      <t xml:space="preserve"> with recipient age, likely due to higher donor-egg usage in older patients.</t>
    </r>
  </si>
  <si>
    <r>
      <rPr>
        <b/>
        <sz val="10"/>
        <color rgb="FF000000"/>
        <rFont val="Arial"/>
        <family val="2"/>
        <scheme val="minor"/>
      </rPr>
      <t>ERICA</t>
    </r>
    <r>
      <rPr>
        <sz val="10"/>
        <color rgb="FF000000"/>
        <rFont val="Arial"/>
        <family val="2"/>
        <scheme val="minor"/>
      </rPr>
      <t xml:space="preserve"> Deep Neural Network:
Used for embryo image preprocessing, segmentation, morphometric feature extraction, and classification into optimal/good/fair/poor groups to predict first-trimester pregnancy loss.</t>
    </r>
  </si>
  <si>
    <r>
      <rPr>
        <b/>
        <sz val="10"/>
        <color theme="1"/>
        <rFont val="Arial"/>
        <family val="2"/>
        <scheme val="minor"/>
      </rPr>
      <t>ERICA</t>
    </r>
    <r>
      <rPr>
        <sz val="10"/>
        <color theme="1"/>
        <rFont val="Arial"/>
        <family val="2"/>
        <scheme val="minor"/>
      </rPr>
      <t xml:space="preserve"> Deep Neural Network — Accuracy 67.4%
Sensitivity: 74.3%
Specificity: 37.5%</t>
    </r>
  </si>
  <si>
    <t>IVF live-birth prediction is challenging because clinical, embryological, and patient features have complex nonlinear relationships that traditional methods cannot model effectively. The study aims to develop an optimized ML–DL pipeline that can accurately predict live birth outcomes and identify the most influential IVF features.</t>
  </si>
  <si>
    <r>
      <t xml:space="preserve">The dataset contains </t>
    </r>
    <r>
      <rPr>
        <b/>
        <sz val="10"/>
        <color rgb="FF000000"/>
        <rFont val="Arial"/>
        <family val="2"/>
        <scheme val="minor"/>
      </rPr>
      <t>7,266 IVF cycles</t>
    </r>
    <r>
      <rPr>
        <sz val="10"/>
        <color rgb="FF000000"/>
        <rFont val="Arial"/>
        <family val="2"/>
        <scheme val="minor"/>
      </rPr>
      <t>, each with maternal demographics, ovarian reserve markers, semen parameters, stimulation data, embryo assessment scores, and clinical outcomes. Features included both categorical and numerical predictors relevant to embryo development and pregnancy success.</t>
    </r>
  </si>
  <si>
    <r>
      <t xml:space="preserve">The dataset is </t>
    </r>
    <r>
      <rPr>
        <b/>
        <sz val="10"/>
        <color rgb="FF000000"/>
        <rFont val="Arial"/>
        <family val="2"/>
        <scheme val="minor"/>
      </rPr>
      <t>not publicly available</t>
    </r>
    <r>
      <rPr>
        <sz val="10"/>
        <color rgb="FF000000"/>
        <rFont val="Arial"/>
        <family val="2"/>
        <scheme val="minor"/>
      </rPr>
      <t>, as it comes from a clinical IVF center, but may be obtained upon request to the authors subject to ethical approval.</t>
    </r>
  </si>
  <si>
    <r>
      <t xml:space="preserve">The pipeline applies </t>
    </r>
    <r>
      <rPr>
        <b/>
        <sz val="10"/>
        <color rgb="FF000000"/>
        <rFont val="Arial"/>
        <family val="2"/>
        <scheme val="minor"/>
      </rPr>
      <t>PCA</t>
    </r>
    <r>
      <rPr>
        <sz val="10"/>
        <color rgb="FF000000"/>
        <rFont val="Arial"/>
        <family val="2"/>
        <scheme val="minor"/>
      </rPr>
      <t xml:space="preserve"> or </t>
    </r>
    <r>
      <rPr>
        <b/>
        <sz val="10"/>
        <color rgb="FF000000"/>
        <rFont val="Arial"/>
        <family val="2"/>
        <scheme val="minor"/>
      </rPr>
      <t>PSO</t>
    </r>
    <r>
      <rPr>
        <sz val="10"/>
        <color rgb="FF000000"/>
        <rFont val="Arial"/>
        <family val="2"/>
        <scheme val="minor"/>
      </rPr>
      <t xml:space="preserve"> for dimensionality reduction/feature selection, then trains multiple classifiers including Random Forest, Decision Tree, Transformer, and TabTransformer. No image annotation is used because the dataset is </t>
    </r>
    <r>
      <rPr>
        <b/>
        <sz val="10"/>
        <color rgb="FF000000"/>
        <rFont val="Arial"/>
        <family val="2"/>
        <scheme val="minor"/>
      </rPr>
      <t>tabular (numerical + categorical)</t>
    </r>
    <r>
      <rPr>
        <sz val="10"/>
        <color rgb="FF000000"/>
        <rFont val="Arial"/>
        <family val="2"/>
        <scheme val="minor"/>
      </rPr>
      <t xml:space="preserve"> rather than image-based.</t>
    </r>
  </si>
  <si>
    <r>
      <t xml:space="preserve">The study uses </t>
    </r>
    <r>
      <rPr>
        <b/>
        <sz val="10"/>
        <color rgb="FF000000"/>
        <rFont val="Arial"/>
        <family val="2"/>
        <scheme val="minor"/>
      </rPr>
      <t>Random Forest</t>
    </r>
    <r>
      <rPr>
        <sz val="10"/>
        <color rgb="FF000000"/>
        <rFont val="Arial"/>
        <family val="2"/>
        <scheme val="minor"/>
      </rPr>
      <t xml:space="preserve"> and </t>
    </r>
    <r>
      <rPr>
        <b/>
        <sz val="10"/>
        <color rgb="FF000000"/>
        <rFont val="Arial"/>
        <family val="2"/>
        <scheme val="minor"/>
      </rPr>
      <t>Decision Tree</t>
    </r>
    <r>
      <rPr>
        <sz val="10"/>
        <color rgb="FF000000"/>
        <rFont val="Arial"/>
        <family val="2"/>
        <scheme val="minor"/>
      </rPr>
      <t xml:space="preserve"> as baseline ML classifiers, while </t>
    </r>
    <r>
      <rPr>
        <b/>
        <sz val="10"/>
        <color rgb="FF000000"/>
        <rFont val="Arial"/>
        <family val="2"/>
        <scheme val="minor"/>
      </rPr>
      <t>Transformer-based models</t>
    </r>
    <r>
      <rPr>
        <sz val="10"/>
        <color rgb="FF000000"/>
        <rFont val="Arial"/>
        <family val="2"/>
        <scheme val="minor"/>
      </rPr>
      <t xml:space="preserve"> and </t>
    </r>
    <r>
      <rPr>
        <b/>
        <sz val="10"/>
        <color rgb="FF000000"/>
        <rFont val="Arial"/>
        <family val="2"/>
        <scheme val="minor"/>
      </rPr>
      <t>TabTransformer</t>
    </r>
    <r>
      <rPr>
        <sz val="10"/>
        <color rgb="FF000000"/>
        <rFont val="Arial"/>
        <family val="2"/>
        <scheme val="minor"/>
      </rPr>
      <t xml:space="preserve"> serve as the primary deep-learning architectures for capturing nonlinear fertility patterns. </t>
    </r>
    <r>
      <rPr>
        <b/>
        <sz val="10"/>
        <color rgb="FF000000"/>
        <rFont val="Arial"/>
        <family val="2"/>
        <scheme val="minor"/>
      </rPr>
      <t>PCA</t>
    </r>
    <r>
      <rPr>
        <sz val="10"/>
        <color rgb="FF000000"/>
        <rFont val="Arial"/>
        <family val="2"/>
        <scheme val="minor"/>
      </rPr>
      <t xml:space="preserve"> is used for dimensionality reduction, and </t>
    </r>
    <r>
      <rPr>
        <b/>
        <sz val="10"/>
        <color rgb="FF000000"/>
        <rFont val="Arial"/>
        <family val="2"/>
        <scheme val="minor"/>
      </rPr>
      <t>PSO</t>
    </r>
    <r>
      <rPr>
        <sz val="10"/>
        <color rgb="FF000000"/>
        <rFont val="Arial"/>
        <family val="2"/>
        <scheme val="minor"/>
      </rPr>
      <t xml:space="preserve"> is used for feature optimization to improve predictive accuracy and reduce model complexity.</t>
    </r>
  </si>
  <si>
    <r>
      <t xml:space="preserve">From Table 5, accuracy results include: </t>
    </r>
    <r>
      <rPr>
        <b/>
        <sz val="10"/>
        <color rgb="FF000000"/>
        <rFont val="Arial"/>
        <family val="2"/>
        <scheme val="minor"/>
      </rPr>
      <t>PCA + RF = 92.2%</t>
    </r>
    <r>
      <rPr>
        <sz val="10"/>
        <color rgb="FF000000"/>
        <rFont val="Arial"/>
        <family val="2"/>
        <scheme val="minor"/>
      </rPr>
      <t xml:space="preserve">, </t>
    </r>
    <r>
      <rPr>
        <b/>
        <sz val="10"/>
        <color rgb="FF000000"/>
        <rFont val="Arial"/>
        <family val="2"/>
        <scheme val="minor"/>
      </rPr>
      <t>PCA + DT = 91.0%</t>
    </r>
    <r>
      <rPr>
        <sz val="10"/>
        <color rgb="FF000000"/>
        <rFont val="Arial"/>
        <family val="2"/>
        <scheme val="minor"/>
      </rPr>
      <t xml:space="preserve">, </t>
    </r>
    <r>
      <rPr>
        <b/>
        <sz val="10"/>
        <color rgb="FF000000"/>
        <rFont val="Arial"/>
        <family val="2"/>
        <scheme val="minor"/>
      </rPr>
      <t>PSO + RF = 93.5%</t>
    </r>
    <r>
      <rPr>
        <sz val="10"/>
        <color rgb="FF000000"/>
        <rFont val="Arial"/>
        <family val="2"/>
        <scheme val="minor"/>
      </rPr>
      <t xml:space="preserve">, </t>
    </r>
    <r>
      <rPr>
        <b/>
        <sz val="10"/>
        <color rgb="FF000000"/>
        <rFont val="Arial"/>
        <family val="2"/>
        <scheme val="minor"/>
      </rPr>
      <t>PSO + DT = 91.9%</t>
    </r>
    <r>
      <rPr>
        <sz val="10"/>
        <color rgb="FF000000"/>
        <rFont val="Arial"/>
        <family val="2"/>
        <scheme val="minor"/>
      </rPr>
      <t xml:space="preserve">, </t>
    </r>
    <r>
      <rPr>
        <b/>
        <sz val="10"/>
        <color rgb="FF000000"/>
        <rFont val="Arial"/>
        <family val="2"/>
        <scheme val="minor"/>
      </rPr>
      <t>PCA + Transformer = 95.5%</t>
    </r>
    <r>
      <rPr>
        <sz val="10"/>
        <color rgb="FF000000"/>
        <rFont val="Arial"/>
        <family val="2"/>
        <scheme val="minor"/>
      </rPr>
      <t xml:space="preserve">, </t>
    </r>
    <r>
      <rPr>
        <b/>
        <sz val="10"/>
        <color rgb="FF000000"/>
        <rFont val="Arial"/>
        <family val="2"/>
        <scheme val="minor"/>
      </rPr>
      <t>PCA + TabTransformer = 96.2%</t>
    </r>
    <r>
      <rPr>
        <sz val="10"/>
        <color rgb="FF000000"/>
        <rFont val="Arial"/>
        <family val="2"/>
        <scheme val="minor"/>
      </rPr>
      <t xml:space="preserve">, </t>
    </r>
    <r>
      <rPr>
        <b/>
        <sz val="10"/>
        <color rgb="FF000000"/>
        <rFont val="Arial"/>
        <family val="2"/>
        <scheme val="minor"/>
      </rPr>
      <t>PSO + Transformer = 98.1%</t>
    </r>
    <r>
      <rPr>
        <sz val="10"/>
        <color rgb="FF000000"/>
        <rFont val="Arial"/>
        <family val="2"/>
        <scheme val="minor"/>
      </rPr>
      <t xml:space="preserve">, and the best model </t>
    </r>
    <r>
      <rPr>
        <b/>
        <sz val="10"/>
        <color rgb="FF000000"/>
        <rFont val="Arial"/>
        <family val="2"/>
        <scheme val="minor"/>
      </rPr>
      <t>PSO + TabTransformer = 99.50% accuracy</t>
    </r>
    <r>
      <rPr>
        <sz val="10"/>
        <color rgb="FF000000"/>
        <rFont val="Arial"/>
        <family val="2"/>
        <scheme val="minor"/>
      </rPr>
      <t>.</t>
    </r>
  </si>
  <si>
    <r>
      <t xml:space="preserve">Feature optimization significantly improved predictive performance, with PSO-selected features enabling Transformer models to exceed </t>
    </r>
    <r>
      <rPr>
        <b/>
        <sz val="10"/>
        <color rgb="FF000000"/>
        <rFont val="Arial"/>
        <family val="2"/>
        <scheme val="minor"/>
      </rPr>
      <t>98–99% accuracy</t>
    </r>
    <r>
      <rPr>
        <sz val="10"/>
        <color rgb="FF000000"/>
        <rFont val="Arial"/>
        <family val="2"/>
        <scheme val="minor"/>
      </rPr>
      <t>. The model identified key predictors such as maternal age, embryo grade, and endometrial thickness as the strongest contributors to live-birth success.</t>
    </r>
  </si>
  <si>
    <r>
      <t xml:space="preserve">Embryo selection is subjective and inconsistent due to variability in morphological grading using Gardner criteria. This study aims to solve this by releasing the </t>
    </r>
    <r>
      <rPr>
        <b/>
        <sz val="10"/>
        <color rgb="FF000000"/>
        <rFont val="Arial"/>
        <family val="2"/>
        <scheme val="minor"/>
      </rPr>
      <t>first large publicly available human blastocyst image dataset</t>
    </r>
    <r>
      <rPr>
        <sz val="10"/>
        <color rgb="FF000000"/>
        <rFont val="Arial"/>
        <family val="2"/>
        <scheme val="minor"/>
      </rPr>
      <t xml:space="preserve"> with expert annotations, enabling standardized benchmarking for AI models in IVF.</t>
    </r>
  </si>
  <si>
    <r>
      <t xml:space="preserve">The dataset includes </t>
    </r>
    <r>
      <rPr>
        <b/>
        <sz val="10"/>
        <color rgb="FF000000"/>
        <rFont val="Arial"/>
        <family val="2"/>
        <scheme val="minor"/>
      </rPr>
      <t>2,344 human blastocyst images</t>
    </r>
    <r>
      <rPr>
        <sz val="10"/>
        <color rgb="FF000000"/>
        <rFont val="Arial"/>
        <family val="2"/>
        <scheme val="minor"/>
      </rPr>
      <t xml:space="preserve"> from 837 patients, each annotated for Gardner criteria: Expansion (EXP), Inner Cell Mass (ICM), and Trophectoderm (TE). A subset of 300 images includes </t>
    </r>
    <r>
      <rPr>
        <b/>
        <sz val="10"/>
        <color rgb="FF000000"/>
        <rFont val="Arial"/>
        <family val="2"/>
        <scheme val="minor"/>
      </rPr>
      <t>gold-standard consensus annotations</t>
    </r>
    <r>
      <rPr>
        <sz val="10"/>
        <color rgb="FF000000"/>
        <rFont val="Arial"/>
        <family val="2"/>
        <scheme val="minor"/>
      </rPr>
      <t xml:space="preserve"> from an international consortium.</t>
    </r>
  </si>
  <si>
    <r>
      <t xml:space="preserve">The authors collected static blastocyst images and annotated them using the Gardner scoring scheme via a multi-expert international consortium. They then trained three deep learning models (Xception, DeiT Transformer, Swin Transformer) on the </t>
    </r>
    <r>
      <rPr>
        <b/>
        <sz val="10"/>
        <color rgb="FF000000"/>
        <rFont val="Arial"/>
        <family val="2"/>
        <scheme val="minor"/>
      </rPr>
      <t>silver-standard</t>
    </r>
    <r>
      <rPr>
        <sz val="10"/>
        <color rgb="FF000000"/>
        <rFont val="Arial"/>
        <family val="2"/>
        <scheme val="minor"/>
      </rPr>
      <t xml:space="preserve"> labels and benchmarked their performance on the </t>
    </r>
    <r>
      <rPr>
        <b/>
        <sz val="10"/>
        <color rgb="FF000000"/>
        <rFont val="Arial"/>
        <family val="2"/>
        <scheme val="minor"/>
      </rPr>
      <t>gold-standard</t>
    </r>
    <r>
      <rPr>
        <sz val="10"/>
        <color rgb="FF000000"/>
        <rFont val="Arial"/>
        <family val="2"/>
        <scheme val="minor"/>
      </rPr>
      <t xml:space="preserve"> test set.Extensive annotation performed (EXP, ICM, TE).</t>
    </r>
  </si>
  <si>
    <r>
      <t xml:space="preserve">The study uses </t>
    </r>
    <r>
      <rPr>
        <b/>
        <sz val="10"/>
        <color rgb="FF000000"/>
        <rFont val="Arial"/>
        <family val="2"/>
        <scheme val="minor"/>
      </rPr>
      <t>Xception CNN</t>
    </r>
    <r>
      <rPr>
        <sz val="10"/>
        <color rgb="FF000000"/>
        <rFont val="Arial"/>
        <family val="2"/>
        <scheme val="minor"/>
      </rPr>
      <t xml:space="preserve">, </t>
    </r>
    <r>
      <rPr>
        <b/>
        <sz val="10"/>
        <color rgb="FF000000"/>
        <rFont val="Arial"/>
        <family val="2"/>
        <scheme val="minor"/>
      </rPr>
      <t>DeiT Transformer</t>
    </r>
    <r>
      <rPr>
        <sz val="10"/>
        <color rgb="FF000000"/>
        <rFont val="Arial"/>
        <family val="2"/>
        <scheme val="minor"/>
      </rPr>
      <t xml:space="preserve">, and </t>
    </r>
    <r>
      <rPr>
        <b/>
        <sz val="10"/>
        <color rgb="FF000000"/>
        <rFont val="Arial"/>
        <family val="2"/>
        <scheme val="minor"/>
      </rPr>
      <t>Swin Transformer</t>
    </r>
    <r>
      <rPr>
        <sz val="10"/>
        <color rgb="FF000000"/>
        <rFont val="Arial"/>
        <family val="2"/>
        <scheme val="minor"/>
      </rPr>
      <t xml:space="preserve"> as baseline deep learning models to classify each blastocyst image according to the three Gardner criteria (expansion, ICM quality, TE quality). These models serve as benchmarking architectures to help researchers compare their own algorithms on the newly released dataset.</t>
    </r>
  </si>
  <si>
    <r>
      <rPr>
        <b/>
        <sz val="10"/>
        <color theme="1"/>
        <rFont val="Arial"/>
        <family val="2"/>
        <scheme val="minor"/>
      </rPr>
      <t>Expansion</t>
    </r>
    <r>
      <rPr>
        <sz val="10"/>
        <color theme="1"/>
        <rFont val="Arial"/>
        <family val="2"/>
        <scheme val="minor"/>
      </rPr>
      <t xml:space="preserve">: Xception = 0.78, DeiT = 0.82, Swin = 0.85
</t>
    </r>
    <r>
      <rPr>
        <b/>
        <sz val="10"/>
        <color theme="1"/>
        <rFont val="Arial"/>
        <family val="2"/>
        <scheme val="minor"/>
      </rPr>
      <t>ICM</t>
    </r>
    <r>
      <rPr>
        <sz val="10"/>
        <color theme="1"/>
        <rFont val="Arial"/>
        <family val="2"/>
        <scheme val="minor"/>
      </rPr>
      <t xml:space="preserve">: Xception = 0.69, DeiT = 0.63, Swin = 0.65
</t>
    </r>
    <r>
      <rPr>
        <b/>
        <sz val="10"/>
        <color theme="1"/>
        <rFont val="Arial"/>
        <family val="2"/>
        <scheme val="minor"/>
      </rPr>
      <t>TE</t>
    </r>
    <r>
      <rPr>
        <sz val="10"/>
        <color theme="1"/>
        <rFont val="Arial"/>
        <family val="2"/>
        <scheme val="minor"/>
      </rPr>
      <t>: Xception = 0.62, DeiT = 0.58, Swin = 0.62</t>
    </r>
  </si>
  <si>
    <r>
      <t xml:space="preserve">The deep learning models achieved </t>
    </r>
    <r>
      <rPr>
        <b/>
        <sz val="10"/>
        <color rgb="FF000000"/>
        <rFont val="Arial"/>
        <family val="2"/>
        <scheme val="minor"/>
      </rPr>
      <t>near-expert performance</t>
    </r>
    <r>
      <rPr>
        <sz val="10"/>
        <color rgb="FF000000"/>
        <rFont val="Arial"/>
        <family val="2"/>
        <scheme val="minor"/>
      </rPr>
      <t xml:space="preserve"> for expansion grading but struggled with ICM and TE, reflecting the difficulty embryologists themselves have with these criteria. This dataset now enables </t>
    </r>
    <r>
      <rPr>
        <b/>
        <sz val="10"/>
        <color rgb="FF000000"/>
        <rFont val="Arial"/>
        <family val="2"/>
        <scheme val="minor"/>
      </rPr>
      <t>standardized benchmarking</t>
    </r>
    <r>
      <rPr>
        <sz val="10"/>
        <color rgb="FF000000"/>
        <rFont val="Arial"/>
        <family val="2"/>
        <scheme val="minor"/>
      </rPr>
      <t>, something previously impossible due to lack of public human embryo datasets.</t>
    </r>
  </si>
  <si>
    <r>
      <t xml:space="preserve">Manual annotation of embryo morphokinetic events is time-consuming and highly variable between embryologists and clinics. This study aims to develop a deep learning model capable of </t>
    </r>
    <r>
      <rPr>
        <b/>
        <sz val="10"/>
        <color rgb="FF000000"/>
        <rFont val="Arial"/>
        <family val="2"/>
        <scheme val="minor"/>
      </rPr>
      <t>automatically detecting 11 key embryo development events</t>
    </r>
    <r>
      <rPr>
        <sz val="10"/>
        <color rgb="FF000000"/>
        <rFont val="Arial"/>
        <family val="2"/>
        <scheme val="minor"/>
      </rPr>
      <t xml:space="preserve"> across multiple Time-Lapse Systems (TLS), improving accuracy and consistency in IVF workflows.</t>
    </r>
  </si>
  <si>
    <r>
      <t xml:space="preserve">The dataset contains </t>
    </r>
    <r>
      <rPr>
        <b/>
        <sz val="10"/>
        <color rgb="FF000000"/>
        <rFont val="Arial"/>
        <family val="2"/>
        <scheme val="minor"/>
      </rPr>
      <t>1,909 embryo time-lapse videos</t>
    </r>
    <r>
      <rPr>
        <sz val="10"/>
        <color rgb="FF000000"/>
        <rFont val="Arial"/>
        <family val="2"/>
        <scheme val="minor"/>
      </rPr>
      <t xml:space="preserve"> collected from </t>
    </r>
    <r>
      <rPr>
        <b/>
        <sz val="10"/>
        <color rgb="FF000000"/>
        <rFont val="Arial"/>
        <family val="2"/>
        <scheme val="minor"/>
      </rPr>
      <t>three TLS platforms</t>
    </r>
    <r>
      <rPr>
        <sz val="10"/>
        <color rgb="FF000000"/>
        <rFont val="Arial"/>
        <family val="2"/>
        <scheme val="minor"/>
      </rPr>
      <t xml:space="preserve">: EmbryoScope/EmbryoScope+, GERI, and MIRI. These videos include </t>
    </r>
    <r>
      <rPr>
        <b/>
        <sz val="10"/>
        <color rgb="FF000000"/>
        <rFont val="Arial"/>
        <family val="2"/>
        <scheme val="minor"/>
      </rPr>
      <t>14,696 expert-annotated biological events</t>
    </r>
    <r>
      <rPr>
        <sz val="10"/>
        <color rgb="FF000000"/>
        <rFont val="Arial"/>
        <family val="2"/>
        <scheme val="minor"/>
      </rPr>
      <t xml:space="preserve"> from t1 (1-cell) to tB (blastocyst).</t>
    </r>
  </si>
  <si>
    <t>Public dataset: 702 EmbryoScope videos (open-source) → https://zenodo.org/records/7912264,Remaining 1,184 videos are not publicly available due to clinical restrictions.</t>
  </si>
  <si>
    <r>
      <t xml:space="preserve">Embryologists manually annotated 11 biological events for each video. The proposed </t>
    </r>
    <r>
      <rPr>
        <b/>
        <sz val="10"/>
        <color rgb="FF000000"/>
        <rFont val="Arial"/>
        <family val="2"/>
        <scheme val="minor"/>
      </rPr>
      <t>Biological Event Extraction (BEE)</t>
    </r>
    <r>
      <rPr>
        <sz val="10"/>
        <color rgb="FF000000"/>
        <rFont val="Arial"/>
        <family val="2"/>
        <scheme val="minor"/>
      </rPr>
      <t xml:space="preserve"> pipeline uses a </t>
    </r>
    <r>
      <rPr>
        <b/>
        <sz val="10"/>
        <color rgb="FF000000"/>
        <rFont val="Arial"/>
        <family val="2"/>
        <scheme val="minor"/>
      </rPr>
      <t>Transformer visual encoder</t>
    </r>
    <r>
      <rPr>
        <sz val="10"/>
        <color rgb="FF000000"/>
        <rFont val="Arial"/>
        <family val="2"/>
        <scheme val="minor"/>
      </rPr>
      <t xml:space="preserve">, a </t>
    </r>
    <r>
      <rPr>
        <b/>
        <sz val="10"/>
        <color rgb="FF000000"/>
        <rFont val="Arial"/>
        <family val="2"/>
        <scheme val="minor"/>
      </rPr>
      <t>GRU sequence model</t>
    </r>
    <r>
      <rPr>
        <sz val="10"/>
        <color rgb="FF000000"/>
        <rFont val="Arial"/>
        <family val="2"/>
        <scheme val="minor"/>
      </rPr>
      <t xml:space="preserve">, and an </t>
    </r>
    <r>
      <rPr>
        <b/>
        <sz val="10"/>
        <color rgb="FF000000"/>
        <rFont val="Arial"/>
        <family val="2"/>
        <scheme val="minor"/>
      </rPr>
      <t>HMM smoothing layer</t>
    </r>
    <r>
      <rPr>
        <sz val="10"/>
        <color rgb="FF000000"/>
        <rFont val="Arial"/>
        <family val="2"/>
        <scheme val="minor"/>
      </rPr>
      <t xml:space="preserve"> to detect development stages while enforcing biologically valid event order.extensive manual annotation was performed for all kinetic events.</t>
    </r>
  </si>
  <si>
    <t>The HMM smoothing step significantly improved biological coherence of the predicted event sequence, correcting implausible transitions produced by the raw GRU output. The model also outperformed earlier approaches in identifying mid- and late-stage events (tsb, tb), which are visually easier but clinically essential.</t>
  </si>
  <si>
    <r>
      <t>Uniformer Transformer Encoder</t>
    </r>
    <r>
      <rPr>
        <sz val="10"/>
        <color rgb="FF000000"/>
        <rFont val="Arial"/>
        <family val="2"/>
        <scheme val="minor"/>
      </rPr>
      <t xml:space="preserve"> → extracts spatiotemporal visual features from embryo video frames.</t>
    </r>
    <r>
      <rPr>
        <b/>
        <sz val="10"/>
        <color rgb="FF000000"/>
        <rFont val="Arial"/>
        <family val="2"/>
        <scheme val="minor"/>
      </rPr>
      <t>Bidirectional GRU</t>
    </r>
    <r>
      <rPr>
        <sz val="10"/>
        <color rgb="FF000000"/>
        <rFont val="Arial"/>
        <family val="2"/>
        <scheme val="minor"/>
      </rPr>
      <t xml:space="preserve"> (2-layer) → models temporal sequences to detect morphokinetic events across time.</t>
    </r>
    <r>
      <rPr>
        <b/>
        <sz val="10"/>
        <color rgb="FF000000"/>
        <rFont val="Arial"/>
        <family val="2"/>
        <scheme val="minor"/>
      </rPr>
      <t>Hidden Markov Model</t>
    </r>
    <r>
      <rPr>
        <sz val="10"/>
        <color rgb="FF000000"/>
        <rFont val="Arial"/>
        <family val="2"/>
        <scheme val="minor"/>
      </rPr>
      <t xml:space="preserve"> (HMM) → smooths predictions and enforces biologically valid event order (corrects impossible transitions).</t>
    </r>
    <r>
      <rPr>
        <b/>
        <sz val="10"/>
        <color rgb="FF000000"/>
        <rFont val="Arial"/>
        <family val="2"/>
        <scheme val="minor"/>
      </rPr>
      <t>Ablation Baselines</t>
    </r>
    <r>
      <rPr>
        <sz val="10"/>
        <color rgb="FF000000"/>
        <rFont val="Arial"/>
        <family val="2"/>
        <scheme val="minor"/>
      </rPr>
      <t xml:space="preserve"> (Encoder only, Encoder+GRU) → used for comparison to evaluate the benefit of each module.</t>
    </r>
  </si>
  <si>
    <r>
      <rPr>
        <b/>
        <sz val="10"/>
        <color rgb="FF000000"/>
        <rFont val="Arial"/>
        <family val="2"/>
        <scheme val="minor"/>
      </rPr>
      <t>Full BEE Model</t>
    </r>
    <r>
      <rPr>
        <sz val="10"/>
        <color rgb="FF000000"/>
        <rFont val="Arial"/>
        <family val="2"/>
        <scheme val="minor"/>
      </rPr>
      <t xml:space="preserve"> (</t>
    </r>
    <r>
      <rPr>
        <b/>
        <sz val="10"/>
        <color rgb="FF000000"/>
        <rFont val="Arial"/>
        <family val="2"/>
        <scheme val="minor"/>
      </rPr>
      <t>Uniformer + GRU + HMM</t>
    </r>
    <r>
      <rPr>
        <sz val="10"/>
        <color rgb="FF000000"/>
        <rFont val="Arial"/>
        <family val="2"/>
        <scheme val="minor"/>
      </rPr>
      <t xml:space="preserve">) → 66.3% weighted F1-score for 11 event detections; 96% F1-score for tB (blastocyst event); 99.5% accuracy for blastocyst vs no-blastocyst classification.
</t>
    </r>
    <r>
      <rPr>
        <b/>
        <sz val="10"/>
        <color rgb="FF000000"/>
        <rFont val="Arial"/>
        <family val="2"/>
        <scheme val="minor"/>
      </rPr>
      <t>Encoder + GRU</t>
    </r>
    <r>
      <rPr>
        <sz val="10"/>
        <color rgb="FF000000"/>
        <rFont val="Arial"/>
        <family val="2"/>
        <scheme val="minor"/>
      </rPr>
      <t xml:space="preserve"> (</t>
    </r>
    <r>
      <rPr>
        <b/>
        <sz val="10"/>
        <color rgb="FF000000"/>
        <rFont val="Arial"/>
        <family val="2"/>
        <scheme val="minor"/>
      </rPr>
      <t>without HMM</t>
    </r>
    <r>
      <rPr>
        <sz val="10"/>
        <color rgb="FF000000"/>
        <rFont val="Arial"/>
        <family val="2"/>
        <scheme val="minor"/>
      </rPr>
      <t xml:space="preserve">) → lower performance (mid–high 50% F1; less biologically consistent sequences).
</t>
    </r>
    <r>
      <rPr>
        <b/>
        <sz val="10"/>
        <color rgb="FF000000"/>
        <rFont val="Arial"/>
        <family val="2"/>
        <scheme val="minor"/>
      </rPr>
      <t xml:space="preserve">Encoder Only </t>
    </r>
    <r>
      <rPr>
        <sz val="10"/>
        <color rgb="FF000000"/>
        <rFont val="Arial"/>
        <family val="2"/>
        <scheme val="minor"/>
      </rPr>
      <t>(</t>
    </r>
    <r>
      <rPr>
        <b/>
        <sz val="10"/>
        <color rgb="FF000000"/>
        <rFont val="Arial"/>
        <family val="2"/>
        <scheme val="minor"/>
      </rPr>
      <t>no GRU, no HMM</t>
    </r>
    <r>
      <rPr>
        <sz val="10"/>
        <color rgb="FF000000"/>
        <rFont val="Arial"/>
        <family val="2"/>
        <scheme val="minor"/>
      </rPr>
      <t xml:space="preserve">) → lowest performance (fails to model temporal dynamics).        </t>
    </r>
  </si>
  <si>
    <t>Embryo morphology assessment at 113 hours post-insemination is subjective and inconsistent across embryologists. This study aims to evaluate multiple deep CNN architectures to determine which model best classifies embryos into 5 morphology-based quality classes and into blastocyst vs. non-blastocyst categories.</t>
  </si>
  <si>
    <r>
      <t xml:space="preserve">The dataset contains </t>
    </r>
    <r>
      <rPr>
        <b/>
        <sz val="10"/>
        <color rgb="FF000000"/>
        <rFont val="Arial"/>
        <family val="2"/>
        <scheme val="minor"/>
      </rPr>
      <t>2,440 embryo images</t>
    </r>
    <r>
      <rPr>
        <sz val="10"/>
        <color rgb="FF000000"/>
        <rFont val="Arial"/>
        <family val="2"/>
        <scheme val="minor"/>
      </rPr>
      <t xml:space="preserve"> at 113 hpi from 543 patients, captured using the EmbryoScope time-lapse system. An additional </t>
    </r>
    <r>
      <rPr>
        <b/>
        <sz val="10"/>
        <color rgb="FF000000"/>
        <rFont val="Arial"/>
        <family val="2"/>
        <scheme val="minor"/>
      </rPr>
      <t>258 images</t>
    </r>
    <r>
      <rPr>
        <sz val="10"/>
        <color rgb="FF000000"/>
        <rFont val="Arial"/>
        <family val="2"/>
        <scheme val="minor"/>
      </rPr>
      <t xml:space="preserve"> from SRBT clinics (domain-shifted dataset) were used for out-of-distribution evaluation.</t>
    </r>
  </si>
  <si>
    <t>Embryologists annotated embryos into 5 morphology classes (1–5), which were then grouped into blastocyst vs. non-blastocyst categories. Multiple CNN architectures—both de-novo and pretrained—were trained using transfer learning and optimized through hyperparameter tuning to identify the best-performing classifier.manual annotation of all embryo images was performed.</t>
  </si>
  <si>
    <r>
      <t xml:space="preserve">The study evaluates </t>
    </r>
    <r>
      <rPr>
        <b/>
        <sz val="10"/>
        <color rgb="FF000000"/>
        <rFont val="Arial"/>
        <family val="2"/>
        <scheme val="minor"/>
      </rPr>
      <t>Inception-v3, ResNet-50, Inception-ResNet-v2, NASNetLarge, ResNeXt-101, ResNeXt-50, Xception</t>
    </r>
    <r>
      <rPr>
        <sz val="10"/>
        <color rgb="FF000000"/>
        <rFont val="Arial"/>
        <family val="2"/>
        <scheme val="minor"/>
      </rPr>
      <t xml:space="preserve">, and several </t>
    </r>
    <r>
      <rPr>
        <b/>
        <sz val="10"/>
        <color rgb="FF000000"/>
        <rFont val="Arial"/>
        <family val="2"/>
        <scheme val="minor"/>
      </rPr>
      <t>multi-layer CNNs (up to 40 layers)</t>
    </r>
    <r>
      <rPr>
        <sz val="10"/>
        <color rgb="FF000000"/>
        <rFont val="Arial"/>
        <family val="2"/>
        <scheme val="minor"/>
      </rPr>
      <t xml:space="preserve">. These models were used to classify embryo quality into </t>
    </r>
    <r>
      <rPr>
        <b/>
        <sz val="10"/>
        <color rgb="FF000000"/>
        <rFont val="Arial"/>
        <family val="2"/>
        <scheme val="minor"/>
      </rPr>
      <t>five morphology classes</t>
    </r>
    <r>
      <rPr>
        <sz val="10"/>
        <color rgb="FF000000"/>
        <rFont val="Arial"/>
        <family val="2"/>
        <scheme val="minor"/>
      </rPr>
      <t xml:space="preserve"> and into </t>
    </r>
    <r>
      <rPr>
        <b/>
        <sz val="10"/>
        <color rgb="FF000000"/>
        <rFont val="Arial"/>
        <family val="2"/>
        <scheme val="minor"/>
      </rPr>
      <t>blastocyst vs. non-blastocyst</t>
    </r>
    <r>
      <rPr>
        <sz val="10"/>
        <color rgb="FF000000"/>
        <rFont val="Arial"/>
        <family val="2"/>
        <scheme val="minor"/>
      </rPr>
      <t xml:space="preserve"> categories. Transfer learning was applied for pretrained models, while custom CNNs were built to compare the effect of depth and hyperparameters.</t>
    </r>
  </si>
  <si>
    <r>
      <t xml:space="preserve">Xception outperformed all models in classifying embryos and showed </t>
    </r>
    <r>
      <rPr>
        <b/>
        <sz val="10"/>
        <color rgb="FF000000"/>
        <rFont val="Arial"/>
        <family val="2"/>
        <scheme val="minor"/>
      </rPr>
      <t>remarkable robustness on domain-shifted data</t>
    </r>
    <r>
      <rPr>
        <sz val="10"/>
        <color rgb="FF000000"/>
        <rFont val="Arial"/>
        <family val="2"/>
        <scheme val="minor"/>
      </rPr>
      <t>, unlike other networks which dropped sharply in accuracy. Saliency maps confirmed that the model learned biologically meaningful features such as ICM, TE, cavitation, and blastomere structure.</t>
    </r>
  </si>
  <si>
    <r>
      <rPr>
        <b/>
        <sz val="10"/>
        <color rgb="FF000000"/>
        <rFont val="Arial"/>
        <family val="2"/>
        <scheme val="minor"/>
      </rPr>
      <t>Two-Class Classification (Blastocyst vs. Non-Blastocyst):</t>
    </r>
    <r>
      <rPr>
        <sz val="10"/>
        <color rgb="FF000000"/>
        <rFont val="Arial"/>
        <family val="2"/>
        <scheme val="minor"/>
      </rPr>
      <t xml:space="preserve">For the binary task, the best-performing model was </t>
    </r>
    <r>
      <rPr>
        <b/>
        <sz val="10"/>
        <color rgb="FF000000"/>
        <rFont val="Arial"/>
        <family val="2"/>
        <scheme val="minor"/>
      </rPr>
      <t>Xception</t>
    </r>
    <r>
      <rPr>
        <sz val="10"/>
        <color rgb="FF000000"/>
        <rFont val="Arial"/>
        <family val="2"/>
        <scheme val="minor"/>
      </rPr>
      <t xml:space="preserve">, achieving </t>
    </r>
    <r>
      <rPr>
        <b/>
        <sz val="10"/>
        <color rgb="FF000000"/>
        <rFont val="Arial"/>
        <family val="2"/>
        <scheme val="minor"/>
      </rPr>
      <t>90.97% accuracy</t>
    </r>
    <r>
      <rPr>
        <sz val="10"/>
        <color rgb="FF000000"/>
        <rFont val="Arial"/>
        <family val="2"/>
        <scheme val="minor"/>
      </rPr>
      <t xml:space="preserve">. Other models performed slightly lower, including </t>
    </r>
    <r>
      <rPr>
        <b/>
        <sz val="10"/>
        <color rgb="FF000000"/>
        <rFont val="Arial"/>
        <family val="2"/>
        <scheme val="minor"/>
      </rPr>
      <t>ResNeXt-101 (90.75%)</t>
    </r>
    <r>
      <rPr>
        <sz val="10"/>
        <color rgb="FF000000"/>
        <rFont val="Arial"/>
        <family val="2"/>
        <scheme val="minor"/>
      </rPr>
      <t xml:space="preserve">, </t>
    </r>
    <r>
      <rPr>
        <b/>
        <sz val="10"/>
        <color rgb="FF000000"/>
        <rFont val="Arial"/>
        <family val="2"/>
        <scheme val="minor"/>
      </rPr>
      <t>Inception-ResNet-v2 (90.21%)</t>
    </r>
    <r>
      <rPr>
        <sz val="10"/>
        <color rgb="FF000000"/>
        <rFont val="Arial"/>
        <family val="2"/>
        <scheme val="minor"/>
      </rPr>
      <t xml:space="preserve">, </t>
    </r>
    <r>
      <rPr>
        <b/>
        <sz val="10"/>
        <color rgb="FF000000"/>
        <rFont val="Arial"/>
        <family val="2"/>
        <scheme val="minor"/>
      </rPr>
      <t>ResNeXt-50 (89.94%)</t>
    </r>
    <r>
      <rPr>
        <sz val="10"/>
        <color rgb="FF000000"/>
        <rFont val="Arial"/>
        <family val="2"/>
        <scheme val="minor"/>
      </rPr>
      <t xml:space="preserve">, </t>
    </r>
    <r>
      <rPr>
        <b/>
        <sz val="10"/>
        <color rgb="FF000000"/>
        <rFont val="Arial"/>
        <family val="2"/>
        <scheme val="minor"/>
      </rPr>
      <t>Inception-v3 (89.71%)</t>
    </r>
    <r>
      <rPr>
        <sz val="10"/>
        <color rgb="FF000000"/>
        <rFont val="Arial"/>
        <family val="2"/>
        <scheme val="minor"/>
      </rPr>
      <t xml:space="preserve">, and </t>
    </r>
    <r>
      <rPr>
        <b/>
        <sz val="10"/>
        <color rgb="FF000000"/>
        <rFont val="Arial"/>
        <family val="2"/>
        <scheme val="minor"/>
      </rPr>
      <t>ResNet-50 (89.08%)</t>
    </r>
    <r>
      <rPr>
        <sz val="10"/>
        <color rgb="FF000000"/>
        <rFont val="Arial"/>
        <family val="2"/>
        <scheme val="minor"/>
      </rPr>
      <t xml:space="preserve">, while the custom </t>
    </r>
    <r>
      <rPr>
        <b/>
        <sz val="10"/>
        <color rgb="FF000000"/>
        <rFont val="Arial"/>
        <family val="2"/>
        <scheme val="minor"/>
      </rPr>
      <t>Multi-layer CNN</t>
    </r>
    <r>
      <rPr>
        <sz val="10"/>
        <color rgb="FF000000"/>
        <rFont val="Arial"/>
        <family val="2"/>
        <scheme val="minor"/>
      </rPr>
      <t xml:space="preserve"> achieved </t>
    </r>
    <r>
      <rPr>
        <b/>
        <sz val="10"/>
        <color rgb="FF000000"/>
        <rFont val="Arial"/>
        <family val="2"/>
        <scheme val="minor"/>
      </rPr>
      <t>82.2%</t>
    </r>
    <r>
      <rPr>
        <sz val="10"/>
        <color rgb="FF000000"/>
        <rFont val="Arial"/>
        <family val="2"/>
        <scheme val="minor"/>
      </rPr>
      <t xml:space="preserve"> and </t>
    </r>
    <r>
      <rPr>
        <b/>
        <sz val="10"/>
        <color rgb="FF000000"/>
        <rFont val="Arial"/>
        <family val="2"/>
        <scheme val="minor"/>
      </rPr>
      <t>NASNetLarge</t>
    </r>
    <r>
      <rPr>
        <sz val="10"/>
        <color rgb="FF000000"/>
        <rFont val="Arial"/>
        <family val="2"/>
        <scheme val="minor"/>
      </rPr>
      <t xml:space="preserve"> performed lowest at </t>
    </r>
    <r>
      <rPr>
        <b/>
        <sz val="10"/>
        <color rgb="FF000000"/>
        <rFont val="Arial"/>
        <family val="2"/>
        <scheme val="minor"/>
      </rPr>
      <t>78.44%</t>
    </r>
    <r>
      <rPr>
        <sz val="10"/>
        <color rgb="FF000000"/>
        <rFont val="Arial"/>
        <family val="2"/>
        <scheme val="minor"/>
      </rPr>
      <t xml:space="preserve">.             </t>
    </r>
    <r>
      <rPr>
        <b/>
        <sz val="10"/>
        <color rgb="FF000000"/>
        <rFont val="Arial"/>
        <family val="2"/>
        <scheme val="minor"/>
      </rPr>
      <t>Five-Class Morphology Classification</t>
    </r>
    <r>
      <rPr>
        <sz val="10"/>
        <color rgb="FF000000"/>
        <rFont val="Arial"/>
        <family val="2"/>
        <scheme val="minor"/>
      </rPr>
      <t xml:space="preserve">:
For the more challenging 5-class embryo quality grading, </t>
    </r>
    <r>
      <rPr>
        <b/>
        <sz val="10"/>
        <color rgb="FF000000"/>
        <rFont val="Arial"/>
        <family val="2"/>
        <scheme val="minor"/>
      </rPr>
      <t>Xception</t>
    </r>
    <r>
      <rPr>
        <sz val="10"/>
        <color rgb="FF000000"/>
        <rFont val="Arial"/>
        <family val="2"/>
        <scheme val="minor"/>
      </rPr>
      <t xml:space="preserve"> again performed </t>
    </r>
    <r>
      <rPr>
        <b/>
        <sz val="10"/>
        <color rgb="FF000000"/>
        <rFont val="Arial"/>
        <family val="2"/>
        <scheme val="minor"/>
      </rPr>
      <t>best</t>
    </r>
    <r>
      <rPr>
        <sz val="10"/>
        <color rgb="FF000000"/>
        <rFont val="Arial"/>
        <family val="2"/>
        <scheme val="minor"/>
      </rPr>
      <t xml:space="preserve"> with </t>
    </r>
    <r>
      <rPr>
        <b/>
        <sz val="10"/>
        <color rgb="FF000000"/>
        <rFont val="Arial"/>
        <family val="2"/>
        <scheme val="minor"/>
      </rPr>
      <t>63.53%</t>
    </r>
    <r>
      <rPr>
        <sz val="10"/>
        <color rgb="FF000000"/>
        <rFont val="Arial"/>
        <family val="2"/>
        <scheme val="minor"/>
      </rPr>
      <t xml:space="preserve"> accuracy, followed by </t>
    </r>
    <r>
      <rPr>
        <b/>
        <sz val="10"/>
        <color rgb="FF000000"/>
        <rFont val="Arial"/>
        <family val="2"/>
        <scheme val="minor"/>
      </rPr>
      <t>Inception-ResNet-v2 (62.09%)</t>
    </r>
    <r>
      <rPr>
        <sz val="10"/>
        <color rgb="FF000000"/>
        <rFont val="Arial"/>
        <family val="2"/>
        <scheme val="minor"/>
      </rPr>
      <t>,</t>
    </r>
    <r>
      <rPr>
        <b/>
        <sz val="10"/>
        <color rgb="FF000000"/>
        <rFont val="Arial"/>
        <family val="2"/>
        <scheme val="minor"/>
      </rPr>
      <t xml:space="preserve"> Inception-v3 (61.57%)</t>
    </r>
    <r>
      <rPr>
        <sz val="10"/>
        <color rgb="FF000000"/>
        <rFont val="Arial"/>
        <family val="2"/>
        <scheme val="minor"/>
      </rPr>
      <t>,</t>
    </r>
    <r>
      <rPr>
        <b/>
        <sz val="10"/>
        <color rgb="FF000000"/>
        <rFont val="Arial"/>
        <family val="2"/>
        <scheme val="minor"/>
      </rPr>
      <t xml:space="preserve"> ResNeXt-50 (60.07%)</t>
    </r>
    <r>
      <rPr>
        <sz val="10"/>
        <color rgb="FF000000"/>
        <rFont val="Arial"/>
        <family val="2"/>
        <scheme val="minor"/>
      </rPr>
      <t xml:space="preserve">, </t>
    </r>
    <r>
      <rPr>
        <b/>
        <sz val="10"/>
        <color rgb="FF000000"/>
        <rFont val="Arial"/>
        <family val="2"/>
        <scheme val="minor"/>
      </rPr>
      <t>ResNet-50 (59.97%)</t>
    </r>
    <r>
      <rPr>
        <sz val="10"/>
        <color rgb="FF000000"/>
        <rFont val="Arial"/>
        <family val="2"/>
        <scheme val="minor"/>
      </rPr>
      <t>, and</t>
    </r>
    <r>
      <rPr>
        <b/>
        <sz val="10"/>
        <color rgb="FF000000"/>
        <rFont val="Arial"/>
        <family val="2"/>
        <scheme val="minor"/>
      </rPr>
      <t xml:space="preserve"> ResNeXt-101 (58.17%)</t>
    </r>
    <r>
      <rPr>
        <sz val="10"/>
        <color rgb="FF000000"/>
        <rFont val="Arial"/>
        <family val="2"/>
        <scheme val="minor"/>
      </rPr>
      <t xml:space="preserve">. The </t>
    </r>
    <r>
      <rPr>
        <b/>
        <sz val="10"/>
        <color rgb="FF000000"/>
        <rFont val="Arial"/>
        <family val="2"/>
        <scheme val="minor"/>
      </rPr>
      <t>Multi-layer CNN</t>
    </r>
    <r>
      <rPr>
        <sz val="10"/>
        <color rgb="FF000000"/>
        <rFont val="Arial"/>
        <family val="2"/>
        <scheme val="minor"/>
      </rPr>
      <t xml:space="preserve"> achieved </t>
    </r>
    <r>
      <rPr>
        <b/>
        <sz val="10"/>
        <color rgb="FF000000"/>
        <rFont val="Arial"/>
        <family val="2"/>
        <scheme val="minor"/>
      </rPr>
      <t>49.17%</t>
    </r>
    <r>
      <rPr>
        <sz val="10"/>
        <color rgb="FF000000"/>
        <rFont val="Arial"/>
        <family val="2"/>
        <scheme val="minor"/>
      </rPr>
      <t xml:space="preserve">, while </t>
    </r>
    <r>
      <rPr>
        <b/>
        <sz val="10"/>
        <color rgb="FF000000"/>
        <rFont val="Arial"/>
        <family val="2"/>
        <scheme val="minor"/>
      </rPr>
      <t>NASNetLarge</t>
    </r>
    <r>
      <rPr>
        <sz val="10"/>
        <color rgb="FF000000"/>
        <rFont val="Arial"/>
        <family val="2"/>
        <scheme val="minor"/>
      </rPr>
      <t xml:space="preserve"> had the lowest performance with </t>
    </r>
    <r>
      <rPr>
        <b/>
        <sz val="10"/>
        <color rgb="FF000000"/>
        <rFont val="Arial"/>
        <family val="2"/>
        <scheme val="minor"/>
      </rPr>
      <t>45.75%</t>
    </r>
    <r>
      <rPr>
        <sz val="10"/>
        <color rgb="FF000000"/>
        <rFont val="Arial"/>
        <family val="2"/>
        <scheme val="minor"/>
      </rPr>
      <t>.</t>
    </r>
  </si>
  <si>
    <r>
      <t xml:space="preserve">A major barrier to AI in IVF is the lack of a </t>
    </r>
    <r>
      <rPr>
        <b/>
        <sz val="10"/>
        <color rgb="FF000000"/>
        <rFont val="Arial"/>
        <family val="2"/>
        <scheme val="minor"/>
      </rPr>
      <t>large, publicly available, fully annotated time-lapse embryo dataset</t>
    </r>
    <r>
      <rPr>
        <sz val="10"/>
        <color rgb="FF000000"/>
        <rFont val="Arial"/>
        <family val="2"/>
        <scheme val="minor"/>
      </rPr>
      <t xml:space="preserve">. Existing studies use small private datasets, preventing reproducibility and comparison of AI models. This paper aims to create the </t>
    </r>
    <r>
      <rPr>
        <b/>
        <sz val="10"/>
        <color rgb="FF000000"/>
        <rFont val="Arial"/>
        <family val="2"/>
        <scheme val="minor"/>
      </rPr>
      <t>first public benchmark dataset</t>
    </r>
    <r>
      <rPr>
        <sz val="10"/>
        <color rgb="FF000000"/>
        <rFont val="Arial"/>
        <family val="2"/>
        <scheme val="minor"/>
      </rPr>
      <t xml:space="preserve"> for morphokinetic event prediction and establish baseline deep-learning models.</t>
    </r>
  </si>
  <si>
    <r>
      <t xml:space="preserve">The dataset includes </t>
    </r>
    <r>
      <rPr>
        <b/>
        <sz val="10"/>
        <color rgb="FF000000"/>
        <rFont val="Arial"/>
        <family val="2"/>
        <scheme val="minor"/>
      </rPr>
      <t>704 full embryo development videos</t>
    </r>
    <r>
      <rPr>
        <sz val="10"/>
        <color rgb="FF000000"/>
        <rFont val="Arial"/>
        <family val="2"/>
        <scheme val="minor"/>
      </rPr>
      <t xml:space="preserve"> (≈337,000 images) from an EmbryoScope time-lapse incubator. Each video contains </t>
    </r>
    <r>
      <rPr>
        <b/>
        <sz val="10"/>
        <color rgb="FF000000"/>
        <rFont val="Arial"/>
        <family val="2"/>
        <scheme val="minor"/>
      </rPr>
      <t>annotations for 16 morphokinetic events</t>
    </r>
    <r>
      <rPr>
        <sz val="10"/>
        <color rgb="FF000000"/>
        <rFont val="Arial"/>
        <family val="2"/>
        <scheme val="minor"/>
      </rPr>
      <t>, from tPB2 (polar body) to tHB (hatching blastocyst). These are the most detailed MK annotations ever released publicly.</t>
    </r>
  </si>
  <si>
    <r>
      <t xml:space="preserve">Expert embryologists annotated 16 development events for every video. The authors convert timing labels into per-frame labels, then train classification models to identify the current embryonic phase. Predicted sequences are corrected using the </t>
    </r>
    <r>
      <rPr>
        <b/>
        <sz val="10"/>
        <color rgb="FF000000"/>
        <rFont val="Arial"/>
        <family val="2"/>
        <scheme val="minor"/>
      </rPr>
      <t>Viterbi algorithm</t>
    </r>
    <r>
      <rPr>
        <sz val="10"/>
        <color rgb="FF000000"/>
        <rFont val="Arial"/>
        <family val="2"/>
        <scheme val="minor"/>
      </rPr>
      <t xml:space="preserve"> to enforce biologically valid event ordering.manual annotation of all morphokinetic stages was performed.</t>
    </r>
  </si>
  <si>
    <r>
      <t xml:space="preserve">Three baseline models were evaluated: </t>
    </r>
    <r>
      <rPr>
        <b/>
        <sz val="10"/>
        <color rgb="FF000000"/>
        <rFont val="Arial"/>
        <family val="2"/>
        <scheme val="minor"/>
      </rPr>
      <t>ResNet</t>
    </r>
    <r>
      <rPr>
        <sz val="10"/>
        <color rgb="FF000000"/>
        <rFont val="Arial"/>
        <family val="2"/>
        <scheme val="minor"/>
      </rPr>
      <t xml:space="preserve"> (for isolated frame classification), </t>
    </r>
    <r>
      <rPr>
        <b/>
        <sz val="10"/>
        <color rgb="FF000000"/>
        <rFont val="Arial"/>
        <family val="2"/>
        <scheme val="minor"/>
      </rPr>
      <t>ResNet-LSTM</t>
    </r>
    <r>
      <rPr>
        <sz val="10"/>
        <color rgb="FF000000"/>
        <rFont val="Arial"/>
        <family val="2"/>
        <scheme val="minor"/>
      </rPr>
      <t xml:space="preserve"> (to model temporal sequence dependencies), and </t>
    </r>
    <r>
      <rPr>
        <b/>
        <sz val="10"/>
        <color rgb="FF000000"/>
        <rFont val="Arial"/>
        <family val="2"/>
        <scheme val="minor"/>
      </rPr>
      <t>ResNet-3D</t>
    </r>
    <r>
      <rPr>
        <sz val="10"/>
        <color rgb="FF000000"/>
        <rFont val="Arial"/>
        <family val="2"/>
        <scheme val="minor"/>
      </rPr>
      <t xml:space="preserve"> (to learn spatiotemporal features directly from video clips). These serve as foundational benchmarks for morphokinetic event detection across 16 embryo developmental stages.</t>
    </r>
  </si>
  <si>
    <t>Using full video sequences dramatically improved accuracy compared to frame-only models, proving temporal information is essential for embryo development analysis. The dataset also includes 526 embryos with clinical outcomes, enabling future research on implantation prediction and cross-center generalization.</t>
  </si>
  <si>
    <r>
      <t xml:space="preserve">For the simplified binary task of distinguishing </t>
    </r>
    <r>
      <rPr>
        <b/>
        <sz val="10"/>
        <color rgb="FF000000"/>
        <rFont val="Arial"/>
        <family val="2"/>
        <scheme val="minor"/>
      </rPr>
      <t>blastocyst vs. non-blastocyst</t>
    </r>
    <r>
      <rPr>
        <sz val="10"/>
        <color rgb="FF000000"/>
        <rFont val="Arial"/>
        <family val="2"/>
        <scheme val="minor"/>
      </rPr>
      <t xml:space="preserve">, the baseline deep-learning models performed very strongly: </t>
    </r>
    <r>
      <rPr>
        <b/>
        <sz val="10"/>
        <color rgb="FF000000"/>
        <rFont val="Arial"/>
        <family val="2"/>
        <scheme val="minor"/>
      </rPr>
      <t>ResNet achieved 98% accuracy</t>
    </r>
    <r>
      <rPr>
        <sz val="10"/>
        <color rgb="FF000000"/>
        <rFont val="Arial"/>
        <family val="2"/>
        <scheme val="minor"/>
      </rPr>
      <t xml:space="preserve">, while both </t>
    </r>
    <r>
      <rPr>
        <b/>
        <sz val="10"/>
        <color rgb="FF000000"/>
        <rFont val="Arial"/>
        <family val="2"/>
        <scheme val="minor"/>
      </rPr>
      <t>ResNet-LSTM</t>
    </r>
    <r>
      <rPr>
        <sz val="10"/>
        <color rgb="FF000000"/>
        <rFont val="Arial"/>
        <family val="2"/>
        <scheme val="minor"/>
      </rPr>
      <t xml:space="preserve"> and </t>
    </r>
    <r>
      <rPr>
        <b/>
        <sz val="10"/>
        <color rgb="FF000000"/>
        <rFont val="Arial"/>
        <family val="2"/>
        <scheme val="minor"/>
      </rPr>
      <t>ResNet-3D</t>
    </r>
    <r>
      <rPr>
        <sz val="10"/>
        <color rgb="FF000000"/>
        <rFont val="Arial"/>
        <family val="2"/>
        <scheme val="minor"/>
      </rPr>
      <t xml:space="preserve"> reached </t>
    </r>
    <r>
      <rPr>
        <b/>
        <sz val="10"/>
        <color rgb="FF000000"/>
        <rFont val="Arial"/>
        <family val="2"/>
        <scheme val="minor"/>
      </rPr>
      <t>99% accuracy</t>
    </r>
    <r>
      <rPr>
        <sz val="10"/>
        <color rgb="FF000000"/>
        <rFont val="Arial"/>
        <family val="2"/>
        <scheme val="minor"/>
      </rPr>
      <t xml:space="preserve">, demonstrating that all three architectures reliably identify whether an embryo successfully reaches the blastocyst stage. </t>
    </r>
    <r>
      <rPr>
        <b/>
        <sz val="10"/>
        <color rgb="FF000000"/>
        <rFont val="Arial"/>
        <family val="2"/>
        <scheme val="minor"/>
      </rPr>
      <t>Sixteen-Class Morphokinetic Classification Main Task</t>
    </r>
    <r>
      <rPr>
        <sz val="10"/>
        <color rgb="FF000000"/>
        <rFont val="Arial"/>
        <family val="2"/>
        <scheme val="minor"/>
      </rPr>
      <t xml:space="preserve">:For the full 16-class morphokinetic event prediction task, which requires identifying specific developmental stages frame-by-frame, performance was lower but still meaningful. The </t>
    </r>
    <r>
      <rPr>
        <b/>
        <sz val="10"/>
        <color rgb="FF000000"/>
        <rFont val="Arial"/>
        <family val="2"/>
        <scheme val="minor"/>
      </rPr>
      <t>ResNet model</t>
    </r>
    <r>
      <rPr>
        <sz val="10"/>
        <color rgb="FF000000"/>
        <rFont val="Arial"/>
        <family val="2"/>
        <scheme val="minor"/>
      </rPr>
      <t xml:space="preserve"> achieved </t>
    </r>
    <r>
      <rPr>
        <b/>
        <sz val="10"/>
        <color rgb="FF000000"/>
        <rFont val="Arial"/>
        <family val="2"/>
        <scheme val="minor"/>
      </rPr>
      <t>66.3</t>
    </r>
    <r>
      <rPr>
        <sz val="10"/>
        <color rgb="FF000000"/>
        <rFont val="Arial"/>
        <family val="2"/>
        <scheme val="minor"/>
      </rPr>
      <t xml:space="preserve">% accuracy, </t>
    </r>
    <r>
      <rPr>
        <b/>
        <sz val="10"/>
        <color rgb="FF000000"/>
        <rFont val="Arial"/>
        <family val="2"/>
        <scheme val="minor"/>
      </rPr>
      <t>ResNet-LSTM</t>
    </r>
    <r>
      <rPr>
        <sz val="10"/>
        <color rgb="FF000000"/>
        <rFont val="Arial"/>
        <family val="2"/>
        <scheme val="minor"/>
      </rPr>
      <t xml:space="preserve"> reached </t>
    </r>
    <r>
      <rPr>
        <b/>
        <sz val="10"/>
        <color rgb="FF000000"/>
        <rFont val="Arial"/>
        <family val="2"/>
        <scheme val="minor"/>
      </rPr>
      <t>68.5%</t>
    </r>
    <r>
      <rPr>
        <sz val="10"/>
        <color rgb="FF000000"/>
        <rFont val="Arial"/>
        <family val="2"/>
        <scheme val="minor"/>
      </rPr>
      <t xml:space="preserve">, and the </t>
    </r>
    <r>
      <rPr>
        <b/>
        <sz val="10"/>
        <color rgb="FF000000"/>
        <rFont val="Arial"/>
        <family val="2"/>
        <scheme val="minor"/>
      </rPr>
      <t>best</t>
    </r>
    <r>
      <rPr>
        <sz val="10"/>
        <color rgb="FF000000"/>
        <rFont val="Arial"/>
        <family val="2"/>
        <scheme val="minor"/>
      </rPr>
      <t xml:space="preserve"> performer, </t>
    </r>
    <r>
      <rPr>
        <b/>
        <sz val="10"/>
        <color rgb="FF000000"/>
        <rFont val="Arial"/>
        <family val="2"/>
        <scheme val="minor"/>
      </rPr>
      <t>ResNet-3D</t>
    </r>
    <r>
      <rPr>
        <sz val="10"/>
        <color rgb="FF000000"/>
        <rFont val="Arial"/>
        <family val="2"/>
        <scheme val="minor"/>
      </rPr>
      <t xml:space="preserve">, achieved </t>
    </r>
    <r>
      <rPr>
        <b/>
        <sz val="10"/>
        <color rgb="FF000000"/>
        <rFont val="Arial"/>
        <family val="2"/>
        <scheme val="minor"/>
      </rPr>
      <t>70.5%</t>
    </r>
    <r>
      <rPr>
        <sz val="10"/>
        <color rgb="FF000000"/>
        <rFont val="Arial"/>
        <family val="2"/>
        <scheme val="minor"/>
      </rPr>
      <t xml:space="preserve"> accuracy.</t>
    </r>
  </si>
  <si>
    <r>
      <t xml:space="preserve">Embryo quality is traditionally evaluated visually, but this process is subjective and varies significantly across embryologists. The study aims to develop a </t>
    </r>
    <r>
      <rPr>
        <b/>
        <sz val="10"/>
        <color rgb="FF000000"/>
        <rFont val="Arial"/>
        <family val="2"/>
        <scheme val="minor"/>
      </rPr>
      <t>deep learning–based automated grading system</t>
    </r>
    <r>
      <rPr>
        <sz val="10"/>
        <color rgb="FF000000"/>
        <rFont val="Arial"/>
        <family val="2"/>
        <scheme val="minor"/>
      </rPr>
      <t xml:space="preserve"> for </t>
    </r>
    <r>
      <rPr>
        <b/>
        <sz val="10"/>
        <color rgb="FF000000"/>
        <rFont val="Arial"/>
        <family val="2"/>
        <scheme val="minor"/>
      </rPr>
      <t>day-3 embryos</t>
    </r>
    <r>
      <rPr>
        <sz val="10"/>
        <color rgb="FF000000"/>
        <rFont val="Arial"/>
        <family val="2"/>
        <scheme val="minor"/>
      </rPr>
      <t xml:space="preserve"> to reduce grading variability and improve consistency in IVF decision-making.</t>
    </r>
  </si>
  <si>
    <r>
      <t xml:space="preserve">The dataset consists of </t>
    </r>
    <r>
      <rPr>
        <b/>
        <sz val="10"/>
        <color rgb="FF000000"/>
        <rFont val="Arial"/>
        <family val="2"/>
        <scheme val="minor"/>
      </rPr>
      <t>1,084 cropped embryo images</t>
    </r>
    <r>
      <rPr>
        <sz val="10"/>
        <color rgb="FF000000"/>
        <rFont val="Arial"/>
        <family val="2"/>
        <scheme val="minor"/>
      </rPr>
      <t xml:space="preserve"> derived from </t>
    </r>
    <r>
      <rPr>
        <b/>
        <sz val="10"/>
        <color rgb="FF000000"/>
        <rFont val="Arial"/>
        <family val="2"/>
        <scheme val="minor"/>
      </rPr>
      <t>1,226 embryos</t>
    </r>
    <r>
      <rPr>
        <sz val="10"/>
        <color rgb="FF000000"/>
        <rFont val="Arial"/>
        <family val="2"/>
        <scheme val="minor"/>
      </rPr>
      <t xml:space="preserve">, all captured on </t>
    </r>
    <r>
      <rPr>
        <b/>
        <sz val="10"/>
        <color rgb="FF000000"/>
        <rFont val="Arial"/>
        <family val="2"/>
        <scheme val="minor"/>
      </rPr>
      <t>day 3 post-fertilization</t>
    </r>
    <r>
      <rPr>
        <sz val="10"/>
        <color rgb="FF000000"/>
        <rFont val="Arial"/>
        <family val="2"/>
        <scheme val="minor"/>
      </rPr>
      <t xml:space="preserve"> using an inverted microscope. Embryologists manually assigned Veeck grades (1–5), but only </t>
    </r>
    <r>
      <rPr>
        <b/>
        <sz val="10"/>
        <color rgb="FF000000"/>
        <rFont val="Arial"/>
        <family val="2"/>
        <scheme val="minor"/>
      </rPr>
      <t>grades 1–3</t>
    </r>
    <r>
      <rPr>
        <sz val="10"/>
        <color rgb="FF000000"/>
        <rFont val="Arial"/>
        <family val="2"/>
        <scheme val="minor"/>
      </rPr>
      <t xml:space="preserve"> were available in the dataset.</t>
    </r>
  </si>
  <si>
    <r>
      <t xml:space="preserve">Embryologists manually graded embryos using the Veeck criteria, and images were cropped and preprocessed. Multiple pretrained CNN architectures were fine-tuned using transfer learning, with hyperparameters optimized using fast.ai’s 1-cycle learning policy. No segmentation or automated annotation was performed — </t>
    </r>
    <r>
      <rPr>
        <b/>
        <sz val="10"/>
        <color rgb="FF000000"/>
        <rFont val="Arial"/>
        <family val="2"/>
        <scheme val="minor"/>
      </rPr>
      <t>grading labels were manually assigned</t>
    </r>
    <r>
      <rPr>
        <sz val="10"/>
        <color rgb="FF000000"/>
        <rFont val="Arial"/>
        <family val="2"/>
        <scheme val="minor"/>
      </rPr>
      <t>.</t>
    </r>
  </si>
  <si>
    <r>
      <t xml:space="preserve">The authors evaluated several convolutional neural networks for embryo quality grading: </t>
    </r>
    <r>
      <rPr>
        <b/>
        <sz val="10"/>
        <color rgb="FF000000"/>
        <rFont val="Arial"/>
        <family val="2"/>
        <scheme val="minor"/>
      </rPr>
      <t>ResNet18, ResNet34, ResNet50, ResNet101</t>
    </r>
    <r>
      <rPr>
        <sz val="10"/>
        <color rgb="FF000000"/>
        <rFont val="Arial"/>
        <family val="2"/>
        <scheme val="minor"/>
      </rPr>
      <t xml:space="preserve">, </t>
    </r>
    <r>
      <rPr>
        <b/>
        <sz val="10"/>
        <color rgb="FF000000"/>
        <rFont val="Arial"/>
        <family val="2"/>
        <scheme val="minor"/>
      </rPr>
      <t>DenseNet121</t>
    </r>
    <r>
      <rPr>
        <sz val="10"/>
        <color rgb="FF000000"/>
        <rFont val="Arial"/>
        <family val="2"/>
        <scheme val="minor"/>
      </rPr>
      <t xml:space="preserve">, </t>
    </r>
    <r>
      <rPr>
        <b/>
        <sz val="10"/>
        <color rgb="FF000000"/>
        <rFont val="Arial"/>
        <family val="2"/>
        <scheme val="minor"/>
      </rPr>
      <t>DenseNet169</t>
    </r>
    <r>
      <rPr>
        <sz val="10"/>
        <color rgb="FF000000"/>
        <rFont val="Arial"/>
        <family val="2"/>
        <scheme val="minor"/>
      </rPr>
      <t xml:space="preserve">, </t>
    </r>
    <r>
      <rPr>
        <b/>
        <sz val="10"/>
        <color rgb="FF000000"/>
        <rFont val="Arial"/>
        <family val="2"/>
        <scheme val="minor"/>
      </rPr>
      <t>Xception</t>
    </r>
    <r>
      <rPr>
        <sz val="10"/>
        <color rgb="FF000000"/>
        <rFont val="Arial"/>
        <family val="2"/>
        <scheme val="minor"/>
      </rPr>
      <t xml:space="preserve">, and </t>
    </r>
    <r>
      <rPr>
        <b/>
        <sz val="10"/>
        <color rgb="FF000000"/>
        <rFont val="Arial"/>
        <family val="2"/>
        <scheme val="minor"/>
      </rPr>
      <t>MobileNetV2</t>
    </r>
    <r>
      <rPr>
        <sz val="10"/>
        <color rgb="FF000000"/>
        <rFont val="Arial"/>
        <family val="2"/>
        <scheme val="minor"/>
      </rPr>
      <t xml:space="preserve">. All were used for </t>
    </r>
    <r>
      <rPr>
        <b/>
        <sz val="10"/>
        <color rgb="FF000000"/>
        <rFont val="Arial"/>
        <family val="2"/>
        <scheme val="minor"/>
      </rPr>
      <t>5-class morphology classification</t>
    </r>
    <r>
      <rPr>
        <sz val="10"/>
        <color rgb="FF000000"/>
        <rFont val="Arial"/>
        <family val="2"/>
        <scheme val="minor"/>
      </rPr>
      <t xml:space="preserve"> (Grades 1–5 or, in practice, Grades 1–3). Transfer learning enabled each model to learn embryo-specific morphological patterns, and performance was compared to identify the best architecture for automated grading.</t>
    </r>
  </si>
  <si>
    <t>ResNet50 emerged as the most reliable model despite not being the deepest network, showing that embryo images do not require extremely complex architectures. The study also highlights that preprocessing quality — such as consistent lighting and removing obstructions — significantly affects model accuracy.</t>
  </si>
  <si>
    <r>
      <t>Not publicly available</t>
    </r>
    <r>
      <rPr>
        <sz val="10"/>
        <color rgb="FF000000"/>
        <rFont val="Arial"/>
        <family val="2"/>
        <scheme val="minor"/>
      </rPr>
      <t xml:space="preserve"> due to clinical restrictions.Some access may be granted upon </t>
    </r>
    <r>
      <rPr>
        <b/>
        <sz val="10"/>
        <color rgb="FF000000"/>
        <rFont val="Arial"/>
        <family val="2"/>
        <scheme val="minor"/>
      </rPr>
      <t>request to authors and MGH</t>
    </r>
    <r>
      <rPr>
        <sz val="10"/>
        <color rgb="FF000000"/>
        <rFont val="Arial"/>
        <family val="2"/>
        <scheme val="minor"/>
      </rPr>
      <t>, as noted in the data availability statement.</t>
    </r>
  </si>
  <si>
    <r>
      <t xml:space="preserve">The dataset is </t>
    </r>
    <r>
      <rPr>
        <b/>
        <sz val="10"/>
        <color rgb="FF000000"/>
        <rFont val="Arial"/>
        <family val="2"/>
        <scheme val="minor"/>
      </rPr>
      <t>not publicly available</t>
    </r>
    <r>
      <rPr>
        <sz val="10"/>
        <color rgb="FF000000"/>
        <rFont val="Arial"/>
        <family val="2"/>
        <scheme val="minor"/>
      </rPr>
      <t xml:space="preserve">; images were collected from </t>
    </r>
    <r>
      <rPr>
        <b/>
        <sz val="10"/>
        <color rgb="FF000000"/>
        <rFont val="Arial"/>
        <family val="2"/>
        <scheme val="minor"/>
      </rPr>
      <t>Yasmin IVF Clinic, Jakarta</t>
    </r>
    <r>
      <rPr>
        <sz val="10"/>
        <color rgb="FF000000"/>
        <rFont val="Arial"/>
        <family val="2"/>
        <scheme val="minor"/>
      </rPr>
      <t>. No download link is provided, but access may be possible by contacting the authors.</t>
    </r>
  </si>
  <si>
    <r>
      <t xml:space="preserve">The proposed </t>
    </r>
    <r>
      <rPr>
        <b/>
        <sz val="10"/>
        <color rgb="FF000000"/>
        <rFont val="Arial"/>
        <scheme val="minor"/>
      </rPr>
      <t>Dual-Branch CNN</t>
    </r>
    <r>
      <rPr>
        <sz val="10"/>
        <color rgb="FF000000"/>
        <rFont val="Arial"/>
        <scheme val="minor"/>
      </rPr>
      <t xml:space="preserve"> achieved </t>
    </r>
    <r>
      <rPr>
        <b/>
        <sz val="10"/>
        <color rgb="FF000000"/>
        <rFont val="Arial"/>
        <scheme val="minor"/>
      </rPr>
      <t>94.3% accuracy</t>
    </r>
    <r>
      <rPr>
        <sz val="10"/>
        <color rgb="FF000000"/>
        <rFont val="Arial"/>
        <scheme val="minor"/>
      </rPr>
      <t xml:space="preserve">, while the custom </t>
    </r>
    <r>
      <rPr>
        <b/>
        <sz val="10"/>
        <color rgb="FF000000"/>
        <rFont val="Arial"/>
        <scheme val="minor"/>
      </rPr>
      <t>Morphological Feature Extraction Module</t>
    </r>
    <r>
      <rPr>
        <sz val="10"/>
        <color rgb="FF000000"/>
        <rFont val="Arial"/>
        <scheme val="minor"/>
      </rPr>
      <t xml:space="preserve"> reached </t>
    </r>
    <r>
      <rPr>
        <b/>
        <sz val="10"/>
        <color rgb="FF000000"/>
        <rFont val="Arial"/>
        <scheme val="minor"/>
      </rPr>
      <t>95.2% detection accuracy</t>
    </r>
    <r>
      <rPr>
        <sz val="10"/>
        <color rgb="FF000000"/>
        <rFont val="Arial"/>
        <scheme val="minor"/>
      </rPr>
      <t xml:space="preserve">. Among baseline models, </t>
    </r>
    <r>
      <rPr>
        <b/>
        <sz val="10"/>
        <color rgb="FF000000"/>
        <rFont val="Arial"/>
        <scheme val="minor"/>
      </rPr>
      <t>EfficientNet</t>
    </r>
    <r>
      <rPr>
        <sz val="10"/>
        <color rgb="FF000000"/>
        <rFont val="Arial"/>
        <scheme val="minor"/>
      </rPr>
      <t xml:space="preserve"> reached </t>
    </r>
    <r>
      <rPr>
        <b/>
        <sz val="10"/>
        <color rgb="FF000000"/>
        <rFont val="Arial"/>
        <scheme val="minor"/>
      </rPr>
      <t>92.1%</t>
    </r>
    <r>
      <rPr>
        <sz val="10"/>
        <color rgb="FF000000"/>
        <rFont val="Arial"/>
        <scheme val="minor"/>
      </rPr>
      <t xml:space="preserve">, followed by </t>
    </r>
    <r>
      <rPr>
        <b/>
        <sz val="10"/>
        <color rgb="FF000000"/>
        <rFont val="Arial"/>
        <scheme val="minor"/>
      </rPr>
      <t>MobileNetV2 (82.1%)</t>
    </r>
    <r>
      <rPr>
        <sz val="10"/>
        <color rgb="FF000000"/>
        <rFont val="Arial"/>
        <scheme val="minor"/>
      </rPr>
      <t xml:space="preserve">, </t>
    </r>
    <r>
      <rPr>
        <b/>
        <sz val="10"/>
        <color rgb="FF000000"/>
        <rFont val="Arial"/>
        <scheme val="minor"/>
      </rPr>
      <t>InceptionV3 (81.5%)</t>
    </r>
    <r>
      <rPr>
        <sz val="10"/>
        <color rgb="FF000000"/>
        <rFont val="Arial"/>
        <scheme val="minor"/>
      </rPr>
      <t xml:space="preserve">, </t>
    </r>
    <r>
      <rPr>
        <b/>
        <sz val="10"/>
        <color rgb="FF000000"/>
        <rFont val="Arial"/>
        <scheme val="minor"/>
      </rPr>
      <t>ResNet50 (80.8%)</t>
    </r>
    <r>
      <rPr>
        <sz val="10"/>
        <color rgb="FF000000"/>
        <rFont val="Arial"/>
        <scheme val="minor"/>
      </rPr>
      <t xml:space="preserve">, and </t>
    </r>
    <r>
      <rPr>
        <b/>
        <sz val="10"/>
        <color rgb="FF000000"/>
        <rFont val="Arial"/>
        <scheme val="minor"/>
      </rPr>
      <t>VGG16 (79.2%).</t>
    </r>
  </si>
  <si>
    <r>
      <t xml:space="preserve">Across all tested models, </t>
    </r>
    <r>
      <rPr>
        <b/>
        <sz val="10"/>
        <color rgb="FF000000"/>
        <rFont val="Arial"/>
        <family val="2"/>
        <scheme val="minor"/>
      </rPr>
      <t>ResNet50</t>
    </r>
    <r>
      <rPr>
        <sz val="10"/>
        <color rgb="FF000000"/>
        <rFont val="Arial"/>
        <family val="2"/>
        <scheme val="minor"/>
      </rPr>
      <t xml:space="preserve"> achieved the highest accuracy at </t>
    </r>
    <r>
      <rPr>
        <b/>
        <sz val="10"/>
        <color rgb="FF000000"/>
        <rFont val="Arial"/>
        <family val="2"/>
        <scheme val="minor"/>
      </rPr>
      <t>91.79%</t>
    </r>
    <r>
      <rPr>
        <sz val="10"/>
        <color rgb="FF000000"/>
        <rFont val="Arial"/>
        <family val="2"/>
        <scheme val="minor"/>
      </rPr>
      <t xml:space="preserve">, outperforming deeper models like </t>
    </r>
    <r>
      <rPr>
        <b/>
        <sz val="10"/>
        <color rgb="FF000000"/>
        <rFont val="Arial"/>
        <family val="2"/>
        <scheme val="minor"/>
      </rPr>
      <t>ResNet101</t>
    </r>
    <r>
      <rPr>
        <sz val="10"/>
        <color rgb="FF000000"/>
        <rFont val="Arial"/>
        <family val="2"/>
        <scheme val="minor"/>
      </rPr>
      <t xml:space="preserve"> and complex models like </t>
    </r>
    <r>
      <rPr>
        <b/>
        <sz val="10"/>
        <color rgb="FF000000"/>
        <rFont val="Arial"/>
        <family val="2"/>
        <scheme val="minor"/>
      </rPr>
      <t>DenseNet169</t>
    </r>
    <r>
      <rPr>
        <sz val="10"/>
        <color rgb="FF000000"/>
        <rFont val="Arial"/>
        <family val="2"/>
        <scheme val="minor"/>
      </rPr>
      <t xml:space="preserve">. </t>
    </r>
    <r>
      <rPr>
        <b/>
        <sz val="10"/>
        <color rgb="FF000000"/>
        <rFont val="Arial"/>
        <family val="2"/>
        <scheme val="minor"/>
      </rPr>
      <t>MobileNetV2</t>
    </r>
    <r>
      <rPr>
        <sz val="10"/>
        <color rgb="FF000000"/>
        <rFont val="Arial"/>
        <family val="2"/>
        <scheme val="minor"/>
      </rPr>
      <t xml:space="preserve"> performed competitively with </t>
    </r>
    <r>
      <rPr>
        <b/>
        <sz val="10"/>
        <color rgb="FF000000"/>
        <rFont val="Arial"/>
        <family val="2"/>
        <scheme val="minor"/>
      </rPr>
      <t>91.14%</t>
    </r>
    <r>
      <rPr>
        <sz val="10"/>
        <color rgb="FF000000"/>
        <rFont val="Arial"/>
        <family val="2"/>
        <scheme val="minor"/>
      </rPr>
      <t xml:space="preserve">, making it suitable for lightweight deployment. Simpler models such as </t>
    </r>
    <r>
      <rPr>
        <b/>
        <sz val="10"/>
        <color rgb="FF000000"/>
        <rFont val="Arial"/>
        <family val="2"/>
        <scheme val="minor"/>
      </rPr>
      <t>ResNet18</t>
    </r>
    <r>
      <rPr>
        <sz val="10"/>
        <color rgb="FF000000"/>
        <rFont val="Arial"/>
        <family val="2"/>
        <scheme val="minor"/>
      </rPr>
      <t xml:space="preserve">, </t>
    </r>
    <r>
      <rPr>
        <b/>
        <sz val="10"/>
        <color rgb="FF000000"/>
        <rFont val="Arial"/>
        <family val="2"/>
        <scheme val="minor"/>
      </rPr>
      <t>ResNet34</t>
    </r>
    <r>
      <rPr>
        <sz val="10"/>
        <color rgb="FF000000"/>
        <rFont val="Arial"/>
        <family val="2"/>
        <scheme val="minor"/>
      </rPr>
      <t xml:space="preserve">, and </t>
    </r>
    <r>
      <rPr>
        <b/>
        <sz val="10"/>
        <color rgb="FF000000"/>
        <rFont val="Arial"/>
        <family val="2"/>
        <scheme val="minor"/>
      </rPr>
      <t>Xception</t>
    </r>
    <r>
      <rPr>
        <sz val="10"/>
        <color rgb="FF000000"/>
        <rFont val="Arial"/>
        <family val="2"/>
        <scheme val="minor"/>
      </rPr>
      <t xml:space="preserve"> achieved accuracies between </t>
    </r>
    <r>
      <rPr>
        <b/>
        <sz val="10"/>
        <color rgb="FF000000"/>
        <rFont val="Arial"/>
        <family val="2"/>
        <scheme val="minor"/>
      </rPr>
      <t>88.8% and 89.9%</t>
    </r>
    <r>
      <rPr>
        <sz val="10"/>
        <color rgb="FF000000"/>
        <rFont val="Arial"/>
        <family val="2"/>
        <scheme val="minor"/>
      </rPr>
      <t xml:space="preserve">, while DenseNet models reached around </t>
    </r>
    <r>
      <rPr>
        <b/>
        <sz val="10"/>
        <color rgb="FF000000"/>
        <rFont val="Arial"/>
        <family val="2"/>
        <scheme val="minor"/>
      </rPr>
      <t>90–91%</t>
    </r>
    <r>
      <rPr>
        <sz val="10"/>
        <color rgb="FF000000"/>
        <rFont val="Arial"/>
        <family val="2"/>
        <scheme val="minor"/>
      </rPr>
      <t>, indicating that deeper or heavier networks do not necessarily outperform mid-sized architectures on this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</si>
</sst>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scheme val="minor"/>
    </font>
    <font>
      <sz val="10"/>
      <color theme="1"/>
      <name val="Arial"/>
      <scheme val="minor"/>
    </font>
    <font>
      <u/>
      <sz val="10"/>
      <color theme="10"/>
      <name val="Arial"/>
      <family val="2"/>
      <scheme val="minor"/>
    </font>
    <font>
      <b/>
      <sz val="10"/>
      <color rgb="FF000000"/>
      <name val="Arial"/>
      <scheme val="minor"/>
    </font>
    <font>
      <b/>
      <sz val="10"/>
      <color rgb="FF000000"/>
      <name val="Arial"/>
      <family val="2"/>
      <scheme val="minor"/>
    </font>
    <font>
      <sz val="10"/>
      <color rgb="FF000000"/>
      <name val="Arial"/>
      <family val="2"/>
      <scheme val="minor"/>
    </font>
    <font>
      <sz val="10"/>
      <color theme="1"/>
      <name val="Arial"/>
      <family val="2"/>
      <scheme val="minor"/>
    </font>
    <font>
      <b/>
      <sz val="10"/>
      <color theme="1"/>
      <name val="Arial"/>
      <family val="2"/>
      <scheme val="minor"/>
    </font>
  </fonts>
  <fills count="3">
    <fill>
      <patternFill patternType="none"/>
    </fill>
    <fill>
      <patternFill patternType="gray125"/>
    </fill>
    <fill>
      <patternFill patternType="solid">
        <fgColor theme="0"/>
        <bgColor rgb="FFFFE599"/>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1" fillId="0" borderId="1" xfId="0" applyFont="1" applyBorder="1" applyAlignment="1">
      <alignment horizontal="left" wrapText="1"/>
    </xf>
    <xf numFmtId="0" fontId="2" fillId="0" borderId="0" xfId="0" applyFont="1" applyAlignment="1">
      <alignment horizontal="left"/>
    </xf>
    <xf numFmtId="0" fontId="2" fillId="0" borderId="1" xfId="0" applyFont="1" applyBorder="1" applyAlignment="1">
      <alignment horizontal="left"/>
    </xf>
    <xf numFmtId="0" fontId="1" fillId="2" borderId="1" xfId="0" applyFont="1" applyFill="1" applyBorder="1" applyAlignment="1">
      <alignment horizontal="left" wrapText="1"/>
    </xf>
    <xf numFmtId="0" fontId="1" fillId="0" borderId="1" xfId="0" applyFont="1" applyBorder="1" applyAlignment="1">
      <alignment horizontal="center" vertical="center" wrapText="1"/>
    </xf>
    <xf numFmtId="0" fontId="3" fillId="0" borderId="1" xfId="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pplyAlignment="1">
      <alignment vertical="center" wrapText="1"/>
    </xf>
    <xf numFmtId="0" fontId="2" fillId="0" borderId="1" xfId="0" applyFont="1" applyBorder="1" applyAlignment="1">
      <alignment horizontal="left" vertical="center" wrapText="1"/>
    </xf>
    <xf numFmtId="0" fontId="3" fillId="0" borderId="1" xfId="1" applyBorder="1" applyAlignment="1">
      <alignment horizontal="left" vertical="center" wrapText="1"/>
    </xf>
    <xf numFmtId="0" fontId="6" fillId="0" borderId="0" xfId="0" applyFont="1" applyAlignment="1">
      <alignment vertical="center" wrapText="1"/>
    </xf>
    <xf numFmtId="0" fontId="6" fillId="0" borderId="0" xfId="0" applyFont="1" applyAlignment="1">
      <alignment wrapText="1"/>
    </xf>
    <xf numFmtId="0" fontId="7" fillId="0" borderId="1" xfId="0" applyFont="1" applyBorder="1" applyAlignment="1">
      <alignment horizontal="left" vertical="center" wrapText="1"/>
    </xf>
    <xf numFmtId="0" fontId="3" fillId="0" borderId="0" xfId="1" applyAlignment="1">
      <alignment vertical="center" wrapText="1"/>
    </xf>
    <xf numFmtId="0" fontId="5" fillId="0" borderId="0" xfId="0" applyFont="1" applyAlignment="1">
      <alignment vertical="center" wrapText="1"/>
    </xf>
    <xf numFmtId="0" fontId="2" fillId="0" borderId="0" xfId="0" applyFont="1" applyAlignment="1">
      <alignment horizontal="left" vertical="center"/>
    </xf>
    <xf numFmtId="0" fontId="3" fillId="0" borderId="1"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zenodo.org/records/79122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topLeftCell="F1" workbookViewId="0">
      <selection activeCell="E3" sqref="E3"/>
    </sheetView>
  </sheetViews>
  <sheetFormatPr defaultColWidth="12.6640625" defaultRowHeight="15.75" customHeight="1" x14ac:dyDescent="0.25"/>
  <cols>
    <col min="1" max="1" width="4.6640625" customWidth="1"/>
    <col min="2" max="2" width="45.77734375" style="8" customWidth="1"/>
    <col min="3" max="3" width="49.77734375" customWidth="1"/>
    <col min="4" max="6" width="45.77734375" customWidth="1"/>
    <col min="7" max="7" width="70.77734375" customWidth="1"/>
    <col min="8" max="8" width="64" customWidth="1"/>
    <col min="9" max="9" width="45.77734375" customWidth="1"/>
  </cols>
  <sheetData>
    <row r="1" spans="1:27" ht="26.4" x14ac:dyDescent="0.25">
      <c r="A1" s="1" t="s">
        <v>0</v>
      </c>
      <c r="B1" s="5" t="s">
        <v>1</v>
      </c>
      <c r="C1" s="1" t="s">
        <v>2</v>
      </c>
      <c r="D1" s="1" t="s">
        <v>3</v>
      </c>
      <c r="E1" s="1" t="s">
        <v>4</v>
      </c>
      <c r="F1" s="4" t="s">
        <v>5</v>
      </c>
      <c r="G1" s="4" t="s">
        <v>6</v>
      </c>
      <c r="H1" s="4" t="s">
        <v>7</v>
      </c>
      <c r="I1" s="1" t="s">
        <v>8</v>
      </c>
      <c r="J1" s="2"/>
      <c r="K1" s="2"/>
      <c r="L1" s="2"/>
      <c r="M1" s="2"/>
      <c r="N1" s="2"/>
      <c r="O1" s="2"/>
      <c r="P1" s="2"/>
      <c r="Q1" s="2"/>
      <c r="R1" s="2"/>
      <c r="S1" s="2"/>
      <c r="T1" s="2"/>
      <c r="U1" s="2"/>
      <c r="V1" s="2"/>
      <c r="W1" s="2"/>
      <c r="X1" s="2"/>
      <c r="Y1" s="2"/>
      <c r="Z1" s="2"/>
      <c r="AA1" s="2"/>
    </row>
    <row r="2" spans="1:27" ht="85.05" customHeight="1" x14ac:dyDescent="0.25">
      <c r="A2" s="3">
        <v>1</v>
      </c>
      <c r="B2" s="6" t="str">
        <f>HYPERLINK("https://www.sciencedirect.com/science/article/pii/S2666389924001004?utm_source=chatgpt.com","A generalized AI system for human embryo selection covering the entire IVF cycle via multi-modal contrastive learning")</f>
        <v>A generalized AI system for human embryo selection covering the entire IVF cycle via multi-modal contrastive learning</v>
      </c>
      <c r="C2" s="10" t="s">
        <v>9</v>
      </c>
      <c r="D2" s="9" t="s">
        <v>11</v>
      </c>
      <c r="E2" s="9" t="s">
        <v>12</v>
      </c>
      <c r="F2" s="9" t="s">
        <v>10</v>
      </c>
      <c r="G2" s="9" t="s">
        <v>13</v>
      </c>
      <c r="H2" s="11" t="s">
        <v>14</v>
      </c>
      <c r="I2" s="9" t="s">
        <v>15</v>
      </c>
      <c r="J2" s="2"/>
      <c r="K2" s="2"/>
      <c r="L2" s="2"/>
      <c r="M2" s="2"/>
      <c r="N2" s="2"/>
      <c r="O2" s="2"/>
      <c r="P2" s="2"/>
      <c r="Q2" s="2"/>
      <c r="R2" s="2"/>
      <c r="S2" s="2"/>
      <c r="T2" s="2"/>
      <c r="U2" s="2"/>
      <c r="V2" s="2"/>
      <c r="W2" s="2"/>
      <c r="X2" s="2"/>
      <c r="Y2" s="2"/>
      <c r="Z2" s="2"/>
      <c r="AA2" s="2"/>
    </row>
    <row r="3" spans="1:27" ht="94.8" customHeight="1" x14ac:dyDescent="0.25">
      <c r="A3" s="3">
        <v>2</v>
      </c>
      <c r="B3" s="6" t="str">
        <f>HYPERLINK("https://www.sciencedirect.com/science/article/pii/S2666521225000778","Deep learning-based embryo quality assessment: A dual-branch CNN model integrating morphological and spatial features")</f>
        <v>Deep learning-based embryo quality assessment: A dual-branch CNN model integrating morphological and spatial features</v>
      </c>
      <c r="C3" s="9" t="s">
        <v>21</v>
      </c>
      <c r="D3" s="9" t="s">
        <v>22</v>
      </c>
      <c r="E3" s="12" t="str">
        <f>HYPERLINK("https://www.kaggle.com/competitions/world-championship-2023-embryo-classification/data")</f>
        <v>https://www.kaggle.com/competitions/world-championship-2023-embryo-classification/data</v>
      </c>
      <c r="F3" s="11" t="s">
        <v>23</v>
      </c>
      <c r="G3" s="9" t="s">
        <v>24</v>
      </c>
      <c r="H3" s="9" t="s">
        <v>74</v>
      </c>
      <c r="I3" s="9" t="s">
        <v>25</v>
      </c>
      <c r="J3" s="2"/>
      <c r="K3" s="2"/>
      <c r="L3" s="2"/>
      <c r="M3" s="2"/>
      <c r="N3" s="2"/>
      <c r="O3" s="2"/>
      <c r="P3" s="2"/>
      <c r="Q3" s="2"/>
      <c r="R3" s="2"/>
      <c r="S3" s="2"/>
      <c r="T3" s="2"/>
      <c r="U3" s="2"/>
      <c r="V3" s="2"/>
      <c r="W3" s="2"/>
      <c r="X3" s="2"/>
      <c r="Y3" s="2"/>
      <c r="Z3" s="2"/>
      <c r="AA3" s="2"/>
    </row>
    <row r="4" spans="1:27" ht="85.05" customHeight="1" x14ac:dyDescent="0.25">
      <c r="A4" s="3">
        <v>3</v>
      </c>
      <c r="B4" s="6" t="str">
        <f>HYPERLINK("https://pmc.ncbi.nlm.nih.gov/articles/PMC12317125/","Deep-learning model for embryo selection using time-lapse imaging of matched high-quality embryos")</f>
        <v>Deep-learning model for embryo selection using time-lapse imaging of matched high-quality embryos</v>
      </c>
      <c r="C4" s="9" t="s">
        <v>16</v>
      </c>
      <c r="D4" s="9" t="s">
        <v>17</v>
      </c>
      <c r="E4" s="9" t="s">
        <v>18</v>
      </c>
      <c r="F4" s="9" t="s">
        <v>19</v>
      </c>
      <c r="G4" s="13" t="s">
        <v>26</v>
      </c>
      <c r="H4" s="13" t="s">
        <v>27</v>
      </c>
      <c r="I4" s="9" t="s">
        <v>20</v>
      </c>
      <c r="J4" s="2"/>
      <c r="K4" s="2"/>
      <c r="L4" s="2"/>
      <c r="M4" s="2"/>
      <c r="N4" s="2"/>
      <c r="O4" s="2"/>
      <c r="P4" s="2"/>
      <c r="Q4" s="2"/>
      <c r="R4" s="2"/>
      <c r="S4" s="2"/>
      <c r="T4" s="2"/>
      <c r="U4" s="2"/>
      <c r="V4" s="2"/>
      <c r="W4" s="2"/>
      <c r="X4" s="2"/>
      <c r="Y4" s="2"/>
      <c r="Z4" s="2"/>
      <c r="AA4" s="2"/>
    </row>
    <row r="5" spans="1:27" ht="112.2" customHeight="1" x14ac:dyDescent="0.25">
      <c r="A5" s="3">
        <v>4</v>
      </c>
      <c r="B5" s="6" t="str">
        <f>HYPERLINK("https://www.sciencedirect.com/science/article/pii/S1472648324001238","Use of artificial intelligence embryo selection based on ERICA for embryo transfer decisions")</f>
        <v>Use of artificial intelligence embryo selection based on ERICA for embryo transfer decisions</v>
      </c>
      <c r="C5" s="13" t="s">
        <v>28</v>
      </c>
      <c r="D5" s="13" t="s">
        <v>29</v>
      </c>
      <c r="E5" s="13" t="s">
        <v>30</v>
      </c>
      <c r="F5" s="13" t="s">
        <v>31</v>
      </c>
      <c r="G5" s="13" t="s">
        <v>33</v>
      </c>
      <c r="H5" s="15" t="s">
        <v>34</v>
      </c>
      <c r="I5" s="13" t="s">
        <v>32</v>
      </c>
      <c r="J5" s="2"/>
      <c r="K5" s="2"/>
      <c r="L5" s="2"/>
      <c r="M5" s="2"/>
      <c r="N5" s="2"/>
      <c r="O5" s="2"/>
      <c r="P5" s="2"/>
      <c r="Q5" s="2"/>
      <c r="R5" s="2"/>
      <c r="S5" s="2"/>
      <c r="T5" s="2"/>
      <c r="U5" s="2"/>
      <c r="V5" s="2"/>
      <c r="W5" s="2"/>
      <c r="X5" s="2"/>
      <c r="Y5" s="2"/>
      <c r="Z5" s="2"/>
      <c r="AA5" s="2"/>
    </row>
    <row r="6" spans="1:27" ht="94.8" customHeight="1" x14ac:dyDescent="0.25">
      <c r="A6" s="3">
        <v>5</v>
      </c>
      <c r="B6" s="6" t="str">
        <f>HYPERLINK("https://arxiv.org/abs/2412.19696","An Integrated Optimization and Deep Learning Pipeline for Predicting Live Birth Success in IVF Using Feature Optimization and Transformer-Based Models")</f>
        <v>An Integrated Optimization and Deep Learning Pipeline for Predicting Live Birth Success in IVF Using Feature Optimization and Transformer-Based Models</v>
      </c>
      <c r="C6" s="13" t="s">
        <v>35</v>
      </c>
      <c r="D6" s="13" t="s">
        <v>36</v>
      </c>
      <c r="E6" s="13" t="s">
        <v>37</v>
      </c>
      <c r="F6" s="13" t="s">
        <v>38</v>
      </c>
      <c r="G6" s="13" t="s">
        <v>39</v>
      </c>
      <c r="H6" s="13" t="s">
        <v>40</v>
      </c>
      <c r="I6" s="13" t="s">
        <v>41</v>
      </c>
      <c r="J6" s="2"/>
      <c r="K6" s="2"/>
      <c r="L6" s="2"/>
      <c r="M6" s="2"/>
      <c r="N6" s="2"/>
      <c r="O6" s="2"/>
      <c r="P6" s="2"/>
      <c r="Q6" s="2"/>
      <c r="R6" s="2"/>
      <c r="S6" s="2"/>
      <c r="T6" s="2"/>
      <c r="U6" s="2"/>
      <c r="V6" s="2"/>
      <c r="W6" s="2"/>
      <c r="X6" s="2"/>
      <c r="Y6" s="2"/>
      <c r="Z6" s="2"/>
      <c r="AA6" s="2"/>
    </row>
    <row r="7" spans="1:27" ht="105.6" customHeight="1" x14ac:dyDescent="0.25">
      <c r="A7" s="3">
        <v>6</v>
      </c>
      <c r="B7" s="6" t="str">
        <f>HYPERLINK("https://www.nature.com/articles/s41597-023-02182-3","An annotated human blastocyst dataset to benchmark deep learning architectures for in vitro fertilization")</f>
        <v>An annotated human blastocyst dataset to benchmark deep learning architectures for in vitro fertilization</v>
      </c>
      <c r="C7" s="13" t="s">
        <v>42</v>
      </c>
      <c r="D7" s="13" t="s">
        <v>43</v>
      </c>
      <c r="E7" s="16" t="str">
        <f>HYPERLINK("https://figshare.com/articles/figure/Blastocyst_dataset_zip/20123153?utm_source=chatgpt.com&amp;file=39348899")</f>
        <v>https://figshare.com/articles/figure/Blastocyst_dataset_zip/20123153?utm_source=chatgpt.com&amp;file=39348899</v>
      </c>
      <c r="F7" s="14" t="s">
        <v>44</v>
      </c>
      <c r="G7" s="13" t="s">
        <v>45</v>
      </c>
      <c r="H7" s="15" t="s">
        <v>46</v>
      </c>
      <c r="I7" s="13" t="s">
        <v>47</v>
      </c>
      <c r="J7" s="2"/>
      <c r="K7" s="2"/>
      <c r="L7" s="2"/>
      <c r="M7" s="2"/>
      <c r="N7" s="2"/>
      <c r="O7" s="2"/>
      <c r="P7" s="2"/>
      <c r="Q7" s="2"/>
      <c r="R7" s="2"/>
      <c r="S7" s="2"/>
      <c r="T7" s="2"/>
      <c r="U7" s="2"/>
      <c r="V7" s="2"/>
      <c r="W7" s="2"/>
      <c r="X7" s="2"/>
      <c r="Y7" s="2"/>
      <c r="Z7" s="2"/>
      <c r="AA7" s="2"/>
    </row>
    <row r="8" spans="1:27" ht="127.8" customHeight="1" x14ac:dyDescent="0.25">
      <c r="A8" s="3">
        <v>7</v>
      </c>
      <c r="B8" s="6" t="str">
        <f>HYPERLINK("https://www.nature.com/articles/s41598-024-80565-1?fromPaywallRec=false","A novel deep learning approach to identify embryo morphokinetics in multiple time lapse systems")</f>
        <v>A novel deep learning approach to identify embryo morphokinetics in multiple time lapse systems</v>
      </c>
      <c r="C8" s="13" t="s">
        <v>48</v>
      </c>
      <c r="D8" s="13" t="s">
        <v>49</v>
      </c>
      <c r="E8" s="16" t="s">
        <v>50</v>
      </c>
      <c r="F8" s="13" t="s">
        <v>51</v>
      </c>
      <c r="G8" s="17" t="s">
        <v>53</v>
      </c>
      <c r="H8" s="13" t="s">
        <v>54</v>
      </c>
      <c r="I8" s="13" t="s">
        <v>52</v>
      </c>
      <c r="J8" s="2"/>
      <c r="K8" s="2"/>
      <c r="L8" s="2"/>
      <c r="M8" s="2"/>
      <c r="N8" s="2"/>
      <c r="O8" s="2"/>
      <c r="P8" s="2"/>
      <c r="Q8" s="2"/>
      <c r="R8" s="2"/>
      <c r="S8" s="2"/>
      <c r="T8" s="2"/>
      <c r="U8" s="2"/>
      <c r="V8" s="2"/>
      <c r="W8" s="2"/>
      <c r="X8" s="2"/>
      <c r="Y8" s="2"/>
      <c r="Z8" s="2"/>
      <c r="AA8" s="2"/>
    </row>
    <row r="9" spans="1:27" ht="181.8" customHeight="1" x14ac:dyDescent="0.25">
      <c r="A9" s="3">
        <v>8</v>
      </c>
      <c r="B9" s="6" t="str">
        <f>HYPERLINK("https://www.cell.com/heliyon/fulltext/S2405-8440(21)00403-5","Evaluation of deep convolutional neural networks in classifying human embryo images based on their morphological quality")</f>
        <v>Evaluation of deep convolutional neural networks in classifying human embryo images based on their morphological quality</v>
      </c>
      <c r="C9" s="13" t="s">
        <v>55</v>
      </c>
      <c r="D9" s="13" t="s">
        <v>56</v>
      </c>
      <c r="E9" s="17" t="s">
        <v>72</v>
      </c>
      <c r="F9" s="13" t="s">
        <v>57</v>
      </c>
      <c r="G9" s="13" t="s">
        <v>58</v>
      </c>
      <c r="H9" s="13" t="s">
        <v>60</v>
      </c>
      <c r="I9" s="13" t="s">
        <v>59</v>
      </c>
      <c r="J9" s="2"/>
      <c r="K9" s="2"/>
      <c r="L9" s="2"/>
      <c r="M9" s="2"/>
      <c r="N9" s="2"/>
      <c r="O9" s="2"/>
      <c r="P9" s="2"/>
      <c r="Q9" s="2"/>
      <c r="R9" s="2"/>
      <c r="S9" s="2"/>
      <c r="T9" s="2"/>
      <c r="U9" s="2"/>
      <c r="V9" s="2"/>
      <c r="W9" s="2"/>
      <c r="X9" s="2"/>
      <c r="Y9" s="2"/>
      <c r="Z9" s="2"/>
      <c r="AA9" s="2"/>
    </row>
    <row r="10" spans="1:27" ht="160.19999999999999" customHeight="1" x14ac:dyDescent="0.25">
      <c r="A10" s="3">
        <v>9</v>
      </c>
      <c r="B10" s="6" t="str">
        <f>HYPERLINK("https://arxiv.org/abs/2203.00531?utm_source=chatgpt.com","Towards deep learning-powered IVF: A large public benchmark for morphokinetic parameter prediction")</f>
        <v>Towards deep learning-powered IVF: A large public benchmark for morphokinetic parameter prediction</v>
      </c>
      <c r="C10" s="13" t="s">
        <v>61</v>
      </c>
      <c r="D10" s="13" t="s">
        <v>62</v>
      </c>
      <c r="E10" s="19" t="str">
        <f>HYPERLINK("https://zenodo.org/records/6390798")</f>
        <v>https://zenodo.org/records/6390798</v>
      </c>
      <c r="F10" s="13" t="s">
        <v>63</v>
      </c>
      <c r="G10" s="13" t="s">
        <v>64</v>
      </c>
      <c r="H10" s="13" t="s">
        <v>66</v>
      </c>
      <c r="I10" s="13" t="s">
        <v>65</v>
      </c>
      <c r="J10" s="2"/>
      <c r="K10" s="2"/>
      <c r="L10" s="2"/>
      <c r="M10" s="2"/>
      <c r="N10" s="2"/>
      <c r="O10" s="2"/>
      <c r="P10" s="2"/>
      <c r="Q10" s="2"/>
      <c r="R10" s="2"/>
      <c r="S10" s="2"/>
      <c r="T10" s="2"/>
      <c r="U10" s="2"/>
      <c r="V10" s="2"/>
      <c r="W10" s="2"/>
      <c r="X10" s="2"/>
      <c r="Y10" s="2"/>
      <c r="Z10" s="2"/>
      <c r="AA10" s="2"/>
    </row>
    <row r="11" spans="1:27" ht="107.4" customHeight="1" x14ac:dyDescent="0.25">
      <c r="A11" s="3">
        <v>10</v>
      </c>
      <c r="B11" s="6" t="str">
        <f>HYPERLINK("https://arxiv.org/abs/2008.12480?utm_source=chatgpt.com","Human Blastocyst Classification after In Vitro Fertilization Using Deep Learning")</f>
        <v>Human Blastocyst Classification after In Vitro Fertilization Using Deep Learning</v>
      </c>
      <c r="C11" s="13" t="s">
        <v>67</v>
      </c>
      <c r="D11" s="13" t="s">
        <v>68</v>
      </c>
      <c r="E11" s="13" t="s">
        <v>73</v>
      </c>
      <c r="F11" s="13" t="s">
        <v>69</v>
      </c>
      <c r="G11" s="13" t="s">
        <v>70</v>
      </c>
      <c r="H11" s="13" t="s">
        <v>75</v>
      </c>
      <c r="I11" s="13" t="s">
        <v>71</v>
      </c>
      <c r="J11" s="2"/>
      <c r="K11" s="2"/>
      <c r="L11" s="2"/>
      <c r="M11" s="2"/>
      <c r="N11" s="2"/>
      <c r="O11" s="2"/>
      <c r="P11" s="2"/>
      <c r="Q11" s="2"/>
      <c r="R11" s="2"/>
      <c r="S11" s="2"/>
      <c r="T11" s="2"/>
      <c r="U11" s="2"/>
      <c r="V11" s="2"/>
      <c r="W11" s="2"/>
      <c r="X11" s="2"/>
      <c r="Y11" s="2"/>
      <c r="Z11" s="2"/>
      <c r="AA11" s="2"/>
    </row>
    <row r="12" spans="1:27" ht="13.2" x14ac:dyDescent="0.25">
      <c r="A12" s="2"/>
      <c r="B12" s="7"/>
      <c r="C12" s="2"/>
      <c r="D12" s="2"/>
      <c r="E12" s="2"/>
      <c r="F12" s="2"/>
      <c r="G12" s="2"/>
      <c r="H12" s="2"/>
      <c r="I12" s="2"/>
      <c r="J12" s="2"/>
      <c r="K12" s="2"/>
      <c r="L12" s="2"/>
      <c r="M12" s="2"/>
      <c r="N12" s="2"/>
      <c r="O12" s="2"/>
      <c r="P12" s="2"/>
      <c r="Q12" s="2"/>
      <c r="R12" s="2"/>
      <c r="S12" s="2"/>
      <c r="T12" s="2"/>
      <c r="U12" s="2"/>
      <c r="V12" s="2"/>
      <c r="W12" s="2"/>
      <c r="X12" s="2"/>
      <c r="Y12" s="2"/>
      <c r="Z12" s="2"/>
      <c r="AA12" s="2"/>
    </row>
    <row r="13" spans="1:27" ht="13.2" x14ac:dyDescent="0.25">
      <c r="A13" s="2"/>
      <c r="B13" s="7"/>
      <c r="C13" s="2"/>
      <c r="D13" s="2"/>
      <c r="E13" s="2"/>
      <c r="F13" s="2"/>
      <c r="G13" s="2"/>
      <c r="H13" s="2"/>
      <c r="I13" s="2"/>
      <c r="J13" s="2"/>
      <c r="K13" s="2"/>
      <c r="L13" s="2"/>
      <c r="M13" s="2"/>
      <c r="N13" s="2"/>
      <c r="O13" s="2"/>
      <c r="P13" s="2"/>
      <c r="Q13" s="2"/>
      <c r="R13" s="2"/>
      <c r="S13" s="2"/>
      <c r="T13" s="2"/>
      <c r="U13" s="2"/>
      <c r="V13" s="2"/>
      <c r="W13" s="2"/>
      <c r="X13" s="2"/>
      <c r="Y13" s="2"/>
      <c r="Z13" s="2"/>
      <c r="AA13" s="2"/>
    </row>
    <row r="14" spans="1:27" ht="13.2" x14ac:dyDescent="0.25">
      <c r="A14" s="2"/>
      <c r="B14" s="7"/>
      <c r="C14" s="2"/>
      <c r="D14" s="2"/>
      <c r="E14" s="2"/>
      <c r="F14" s="2"/>
      <c r="G14" s="2"/>
      <c r="H14" s="2"/>
      <c r="I14" s="2"/>
      <c r="J14" s="2"/>
      <c r="K14" s="2"/>
      <c r="L14" s="2"/>
      <c r="M14" s="2"/>
      <c r="N14" s="2"/>
      <c r="O14" s="2"/>
      <c r="P14" s="2"/>
      <c r="Q14" s="2"/>
      <c r="R14" s="2"/>
      <c r="S14" s="2"/>
      <c r="T14" s="2"/>
      <c r="U14" s="2"/>
      <c r="V14" s="2"/>
      <c r="W14" s="2"/>
      <c r="X14" s="2"/>
      <c r="Y14" s="2"/>
      <c r="Z14" s="2"/>
      <c r="AA14" s="2"/>
    </row>
    <row r="15" spans="1:27" ht="13.2" x14ac:dyDescent="0.25">
      <c r="A15" s="2"/>
      <c r="B15" s="7"/>
      <c r="C15" s="2"/>
      <c r="D15" s="2"/>
      <c r="E15" s="18"/>
      <c r="F15" s="2"/>
      <c r="G15" s="2"/>
      <c r="H15" s="2"/>
      <c r="I15" s="2"/>
      <c r="J15" s="2"/>
      <c r="K15" s="2"/>
      <c r="L15" s="2"/>
      <c r="M15" s="2"/>
      <c r="N15" s="2"/>
      <c r="O15" s="2"/>
      <c r="P15" s="2"/>
      <c r="Q15" s="2"/>
      <c r="R15" s="2"/>
      <c r="S15" s="2"/>
      <c r="T15" s="2"/>
      <c r="U15" s="2"/>
      <c r="V15" s="2"/>
      <c r="W15" s="2"/>
      <c r="X15" s="2"/>
      <c r="Y15" s="2"/>
      <c r="Z15" s="2"/>
      <c r="AA15" s="2"/>
    </row>
    <row r="16" spans="1:27" ht="13.2" x14ac:dyDescent="0.25">
      <c r="A16" s="2"/>
      <c r="B16" s="7"/>
      <c r="C16" s="2"/>
      <c r="D16" s="2"/>
      <c r="E16" s="2"/>
      <c r="F16" s="2"/>
      <c r="G16" s="2"/>
      <c r="H16" s="2"/>
      <c r="I16" s="2"/>
      <c r="J16" s="2"/>
      <c r="K16" s="2"/>
      <c r="L16" s="2"/>
      <c r="M16" s="2"/>
      <c r="N16" s="2"/>
      <c r="O16" s="2"/>
      <c r="P16" s="2"/>
      <c r="Q16" s="2"/>
      <c r="R16" s="2"/>
      <c r="S16" s="2"/>
      <c r="T16" s="2"/>
      <c r="U16" s="2"/>
      <c r="V16" s="2"/>
      <c r="W16" s="2"/>
      <c r="X16" s="2"/>
      <c r="Y16" s="2"/>
      <c r="Z16" s="2"/>
      <c r="AA16" s="2"/>
    </row>
    <row r="17" spans="1:27" ht="13.2" x14ac:dyDescent="0.25">
      <c r="A17" s="2"/>
      <c r="B17" s="7"/>
      <c r="C17" s="2"/>
      <c r="D17" s="2"/>
      <c r="E17" s="2"/>
      <c r="F17" s="2"/>
      <c r="G17" s="2"/>
      <c r="H17" s="2"/>
      <c r="I17" s="2"/>
      <c r="J17" s="2"/>
      <c r="K17" s="2"/>
      <c r="L17" s="2"/>
      <c r="M17" s="2"/>
      <c r="N17" s="2"/>
      <c r="O17" s="2"/>
      <c r="P17" s="2"/>
      <c r="Q17" s="2"/>
      <c r="R17" s="2"/>
      <c r="S17" s="2"/>
      <c r="T17" s="2"/>
      <c r="U17" s="2"/>
      <c r="V17" s="2"/>
      <c r="W17" s="2"/>
      <c r="X17" s="2"/>
      <c r="Y17" s="2"/>
      <c r="Z17" s="2"/>
      <c r="AA17" s="2"/>
    </row>
    <row r="18" spans="1:27" ht="13.2" x14ac:dyDescent="0.25">
      <c r="A18" s="2"/>
      <c r="B18" s="7"/>
      <c r="C18" s="2"/>
      <c r="D18" s="2"/>
      <c r="E18" s="2"/>
      <c r="F18" s="2"/>
      <c r="G18" s="2"/>
      <c r="H18" s="2"/>
      <c r="I18" s="2"/>
      <c r="J18" s="2"/>
      <c r="K18" s="2"/>
      <c r="L18" s="2"/>
      <c r="M18" s="2"/>
      <c r="N18" s="2"/>
      <c r="O18" s="2"/>
      <c r="P18" s="2"/>
      <c r="Q18" s="2"/>
      <c r="R18" s="2"/>
      <c r="S18" s="2"/>
      <c r="T18" s="2"/>
      <c r="U18" s="2"/>
      <c r="V18" s="2"/>
      <c r="W18" s="2"/>
      <c r="X18" s="2"/>
      <c r="Y18" s="2"/>
      <c r="Z18" s="2"/>
      <c r="AA18" s="2"/>
    </row>
    <row r="19" spans="1:27" ht="13.2" x14ac:dyDescent="0.25">
      <c r="A19" s="2"/>
      <c r="B19" s="7"/>
      <c r="C19" s="2"/>
      <c r="D19" s="2"/>
      <c r="E19" s="2"/>
      <c r="F19" s="2"/>
      <c r="G19" s="2"/>
      <c r="H19" s="2"/>
      <c r="I19" s="2"/>
      <c r="J19" s="2"/>
      <c r="K19" s="2"/>
      <c r="L19" s="2"/>
      <c r="M19" s="2"/>
      <c r="N19" s="2"/>
      <c r="O19" s="2"/>
      <c r="P19" s="2"/>
      <c r="Q19" s="2"/>
      <c r="R19" s="2"/>
      <c r="S19" s="2"/>
      <c r="T19" s="2"/>
      <c r="U19" s="2"/>
      <c r="V19" s="2"/>
      <c r="W19" s="2"/>
      <c r="X19" s="2"/>
      <c r="Y19" s="2"/>
      <c r="Z19" s="2"/>
      <c r="AA19" s="2"/>
    </row>
    <row r="20" spans="1:27" ht="13.2" x14ac:dyDescent="0.25">
      <c r="A20" s="2"/>
      <c r="B20" s="7"/>
      <c r="C20" s="2"/>
      <c r="D20" s="2"/>
      <c r="E20" s="2"/>
      <c r="F20" s="2"/>
      <c r="G20" s="2"/>
      <c r="H20" s="2"/>
      <c r="I20" s="2"/>
      <c r="J20" s="2"/>
      <c r="K20" s="2"/>
      <c r="L20" s="2"/>
      <c r="M20" s="2"/>
      <c r="N20" s="2"/>
      <c r="O20" s="2"/>
      <c r="P20" s="2"/>
      <c r="Q20" s="2"/>
      <c r="R20" s="2"/>
      <c r="S20" s="2"/>
      <c r="T20" s="2"/>
      <c r="U20" s="2"/>
      <c r="V20" s="2"/>
      <c r="W20" s="2"/>
      <c r="X20" s="2"/>
      <c r="Y20" s="2"/>
      <c r="Z20" s="2"/>
      <c r="AA20" s="2"/>
    </row>
    <row r="21" spans="1:27" ht="13.2" x14ac:dyDescent="0.25">
      <c r="A21" s="2"/>
      <c r="B21" s="7"/>
      <c r="C21" s="2"/>
      <c r="D21" s="2"/>
      <c r="E21" s="2"/>
      <c r="F21" s="2"/>
      <c r="G21" s="2"/>
      <c r="H21" s="2"/>
      <c r="I21" s="2"/>
      <c r="J21" s="2"/>
      <c r="K21" s="2"/>
      <c r="L21" s="2"/>
      <c r="M21" s="2"/>
      <c r="N21" s="2"/>
      <c r="O21" s="2"/>
      <c r="P21" s="2"/>
      <c r="Q21" s="2"/>
      <c r="R21" s="2"/>
      <c r="S21" s="2"/>
      <c r="T21" s="2"/>
      <c r="U21" s="2"/>
      <c r="V21" s="2"/>
      <c r="W21" s="2"/>
      <c r="X21" s="2"/>
      <c r="Y21" s="2"/>
      <c r="Z21" s="2"/>
      <c r="AA21" s="2"/>
    </row>
    <row r="22" spans="1:27" ht="13.2" x14ac:dyDescent="0.25">
      <c r="A22" s="2"/>
      <c r="B22" s="7"/>
      <c r="C22" s="2"/>
      <c r="D22" s="2"/>
      <c r="E22" s="2"/>
      <c r="F22" s="2"/>
      <c r="G22" s="2"/>
      <c r="H22" s="2"/>
      <c r="I22" s="2"/>
      <c r="J22" s="2"/>
      <c r="K22" s="2"/>
      <c r="L22" s="2"/>
      <c r="M22" s="2"/>
      <c r="N22" s="2"/>
      <c r="O22" s="2"/>
      <c r="P22" s="2"/>
      <c r="Q22" s="2"/>
      <c r="R22" s="2"/>
      <c r="S22" s="2"/>
      <c r="T22" s="2"/>
      <c r="U22" s="2"/>
      <c r="V22" s="2"/>
      <c r="W22" s="2"/>
      <c r="X22" s="2"/>
      <c r="Y22" s="2"/>
      <c r="Z22" s="2"/>
      <c r="AA22" s="2"/>
    </row>
    <row r="23" spans="1:27" ht="13.2" x14ac:dyDescent="0.25">
      <c r="A23" s="2"/>
      <c r="B23" s="7"/>
      <c r="C23" s="2"/>
      <c r="D23" s="2"/>
      <c r="E23" s="2"/>
      <c r="F23" s="2"/>
      <c r="G23" s="2"/>
      <c r="H23" s="2"/>
      <c r="I23" s="2"/>
      <c r="J23" s="2"/>
      <c r="K23" s="2"/>
      <c r="L23" s="2"/>
      <c r="M23" s="2"/>
      <c r="N23" s="2"/>
      <c r="O23" s="2"/>
      <c r="P23" s="2"/>
      <c r="Q23" s="2"/>
      <c r="R23" s="2"/>
      <c r="S23" s="2"/>
      <c r="T23" s="2"/>
      <c r="U23" s="2"/>
      <c r="V23" s="2"/>
      <c r="W23" s="2"/>
      <c r="X23" s="2"/>
      <c r="Y23" s="2"/>
      <c r="Z23" s="2"/>
      <c r="AA23" s="2"/>
    </row>
    <row r="24" spans="1:27" ht="13.2" x14ac:dyDescent="0.25">
      <c r="A24" s="2"/>
      <c r="B24" s="7"/>
      <c r="C24" s="2"/>
      <c r="D24" s="2"/>
      <c r="E24" s="2"/>
      <c r="F24" s="2"/>
      <c r="G24" s="2"/>
      <c r="H24" s="2"/>
      <c r="I24" s="2"/>
      <c r="J24" s="2"/>
      <c r="K24" s="2"/>
      <c r="L24" s="2"/>
      <c r="M24" s="2"/>
      <c r="N24" s="2"/>
      <c r="O24" s="2"/>
      <c r="P24" s="2"/>
      <c r="Q24" s="2"/>
      <c r="R24" s="2"/>
      <c r="S24" s="2"/>
      <c r="T24" s="2"/>
      <c r="U24" s="2"/>
      <c r="V24" s="2"/>
      <c r="W24" s="2"/>
      <c r="X24" s="2"/>
      <c r="Y24" s="2"/>
      <c r="Z24" s="2"/>
      <c r="AA24" s="2"/>
    </row>
    <row r="25" spans="1:27" ht="13.2" x14ac:dyDescent="0.25">
      <c r="A25" s="2"/>
      <c r="B25" s="7"/>
      <c r="C25" s="2"/>
      <c r="D25" s="2"/>
      <c r="E25" s="2"/>
      <c r="F25" s="2"/>
      <c r="G25" s="2"/>
      <c r="H25" s="2"/>
      <c r="I25" s="2"/>
      <c r="J25" s="2"/>
      <c r="K25" s="2"/>
      <c r="L25" s="2"/>
      <c r="M25" s="2"/>
      <c r="N25" s="2"/>
      <c r="O25" s="2"/>
      <c r="P25" s="2"/>
      <c r="Q25" s="2"/>
      <c r="R25" s="2"/>
      <c r="S25" s="2"/>
      <c r="T25" s="2"/>
      <c r="U25" s="2"/>
      <c r="V25" s="2"/>
      <c r="W25" s="2"/>
      <c r="X25" s="2"/>
      <c r="Y25" s="2"/>
      <c r="Z25" s="2"/>
      <c r="AA25" s="2"/>
    </row>
    <row r="26" spans="1:27" ht="13.2" x14ac:dyDescent="0.25">
      <c r="A26" s="2"/>
      <c r="B26" s="7"/>
      <c r="C26" s="2"/>
      <c r="D26" s="2"/>
      <c r="E26" s="2"/>
      <c r="F26" s="2"/>
      <c r="G26" s="2"/>
      <c r="H26" s="2"/>
      <c r="I26" s="2"/>
      <c r="J26" s="2"/>
      <c r="K26" s="2"/>
      <c r="L26" s="2"/>
      <c r="M26" s="2"/>
      <c r="N26" s="2"/>
      <c r="O26" s="2"/>
      <c r="P26" s="2"/>
      <c r="Q26" s="2"/>
      <c r="R26" s="2"/>
      <c r="S26" s="2"/>
      <c r="T26" s="2"/>
      <c r="U26" s="2"/>
      <c r="V26" s="2"/>
      <c r="W26" s="2"/>
      <c r="X26" s="2"/>
      <c r="Y26" s="2"/>
      <c r="Z26" s="2"/>
      <c r="AA26" s="2"/>
    </row>
    <row r="27" spans="1:27" ht="13.2" x14ac:dyDescent="0.25">
      <c r="A27" s="2"/>
      <c r="B27" s="7"/>
      <c r="C27" s="2"/>
      <c r="D27" s="2"/>
      <c r="E27" s="2"/>
      <c r="F27" s="2"/>
      <c r="G27" s="2"/>
      <c r="H27" s="2"/>
      <c r="I27" s="2"/>
      <c r="J27" s="2"/>
      <c r="K27" s="2"/>
      <c r="L27" s="2"/>
      <c r="M27" s="2"/>
      <c r="N27" s="2"/>
      <c r="O27" s="2"/>
      <c r="P27" s="2"/>
      <c r="Q27" s="2"/>
      <c r="R27" s="2"/>
      <c r="S27" s="2"/>
      <c r="T27" s="2"/>
      <c r="U27" s="2"/>
      <c r="V27" s="2"/>
      <c r="W27" s="2"/>
      <c r="X27" s="2"/>
      <c r="Y27" s="2"/>
      <c r="Z27" s="2"/>
      <c r="AA27" s="2"/>
    </row>
    <row r="28" spans="1:27" ht="13.2" x14ac:dyDescent="0.25">
      <c r="A28" s="2"/>
      <c r="B28" s="7"/>
      <c r="C28" s="2"/>
      <c r="D28" s="2"/>
      <c r="E28" s="2"/>
      <c r="F28" s="2"/>
      <c r="G28" s="2"/>
      <c r="H28" s="2"/>
      <c r="I28" s="2"/>
      <c r="J28" s="2"/>
      <c r="K28" s="2"/>
      <c r="L28" s="2"/>
      <c r="M28" s="2"/>
      <c r="N28" s="2"/>
      <c r="O28" s="2"/>
      <c r="P28" s="2"/>
      <c r="Q28" s="2"/>
      <c r="R28" s="2"/>
      <c r="S28" s="2"/>
      <c r="T28" s="2"/>
      <c r="U28" s="2"/>
      <c r="V28" s="2"/>
      <c r="W28" s="2"/>
      <c r="X28" s="2"/>
      <c r="Y28" s="2"/>
      <c r="Z28" s="2"/>
      <c r="AA28" s="2"/>
    </row>
    <row r="29" spans="1:27" ht="13.2" x14ac:dyDescent="0.25">
      <c r="A29" s="2"/>
      <c r="B29" s="7"/>
      <c r="C29" s="2"/>
      <c r="D29" s="2"/>
      <c r="E29" s="2"/>
      <c r="F29" s="2"/>
      <c r="G29" s="2"/>
      <c r="H29" s="2"/>
      <c r="I29" s="2"/>
      <c r="J29" s="2"/>
      <c r="K29" s="2"/>
      <c r="L29" s="2"/>
      <c r="M29" s="2"/>
      <c r="N29" s="2"/>
      <c r="O29" s="2"/>
      <c r="P29" s="2"/>
      <c r="Q29" s="2"/>
      <c r="R29" s="2"/>
      <c r="S29" s="2"/>
      <c r="T29" s="2"/>
      <c r="U29" s="2"/>
      <c r="V29" s="2"/>
      <c r="W29" s="2"/>
      <c r="X29" s="2"/>
      <c r="Y29" s="2"/>
      <c r="Z29" s="2"/>
      <c r="AA29" s="2"/>
    </row>
    <row r="30" spans="1:27" ht="13.2" x14ac:dyDescent="0.25">
      <c r="A30" s="2"/>
      <c r="B30" s="7"/>
      <c r="C30" s="2"/>
      <c r="D30" s="2"/>
      <c r="E30" s="2"/>
      <c r="F30" s="2"/>
      <c r="G30" s="2"/>
      <c r="H30" s="2"/>
      <c r="I30" s="2"/>
      <c r="J30" s="2"/>
      <c r="K30" s="2"/>
      <c r="L30" s="2"/>
      <c r="M30" s="2"/>
      <c r="N30" s="2"/>
      <c r="O30" s="2"/>
      <c r="P30" s="2"/>
      <c r="Q30" s="2"/>
      <c r="R30" s="2"/>
      <c r="S30" s="2"/>
      <c r="T30" s="2"/>
      <c r="U30" s="2"/>
      <c r="V30" s="2"/>
      <c r="W30" s="2"/>
      <c r="X30" s="2"/>
      <c r="Y30" s="2"/>
      <c r="Z30" s="2"/>
      <c r="AA30" s="2"/>
    </row>
    <row r="31" spans="1:27" ht="13.2" x14ac:dyDescent="0.25">
      <c r="A31" s="2"/>
      <c r="B31" s="7"/>
      <c r="C31" s="2"/>
      <c r="D31" s="2"/>
      <c r="E31" s="2"/>
      <c r="F31" s="2"/>
      <c r="G31" s="2"/>
      <c r="H31" s="2"/>
      <c r="I31" s="2"/>
      <c r="J31" s="2"/>
      <c r="K31" s="2"/>
      <c r="L31" s="2"/>
      <c r="M31" s="2"/>
      <c r="N31" s="2"/>
      <c r="O31" s="2"/>
      <c r="P31" s="2"/>
      <c r="Q31" s="2"/>
      <c r="R31" s="2"/>
      <c r="S31" s="2"/>
      <c r="T31" s="2"/>
      <c r="U31" s="2"/>
      <c r="V31" s="2"/>
      <c r="W31" s="2"/>
      <c r="X31" s="2"/>
      <c r="Y31" s="2"/>
      <c r="Z31" s="2"/>
      <c r="AA31" s="2"/>
    </row>
    <row r="32" spans="1:27" ht="13.2" x14ac:dyDescent="0.25">
      <c r="A32" s="2"/>
      <c r="B32" s="7"/>
      <c r="C32" s="2"/>
      <c r="D32" s="2"/>
      <c r="E32" s="2"/>
      <c r="F32" s="2"/>
      <c r="G32" s="2"/>
      <c r="H32" s="2"/>
      <c r="I32" s="2"/>
      <c r="J32" s="2"/>
      <c r="K32" s="2"/>
      <c r="L32" s="2"/>
      <c r="M32" s="2"/>
      <c r="N32" s="2"/>
      <c r="O32" s="2"/>
      <c r="P32" s="2"/>
      <c r="Q32" s="2"/>
      <c r="R32" s="2"/>
      <c r="S32" s="2"/>
      <c r="T32" s="2"/>
      <c r="U32" s="2"/>
      <c r="V32" s="2"/>
      <c r="W32" s="2"/>
      <c r="X32" s="2"/>
      <c r="Y32" s="2"/>
      <c r="Z32" s="2"/>
      <c r="AA32" s="2"/>
    </row>
    <row r="33" spans="1:27" ht="13.2" x14ac:dyDescent="0.25">
      <c r="A33" s="2"/>
      <c r="B33" s="7"/>
      <c r="C33" s="2"/>
      <c r="D33" s="2"/>
      <c r="E33" s="2"/>
      <c r="F33" s="2"/>
      <c r="G33" s="2"/>
      <c r="H33" s="2"/>
      <c r="I33" s="2"/>
      <c r="J33" s="2"/>
      <c r="K33" s="2"/>
      <c r="L33" s="2"/>
      <c r="M33" s="2"/>
      <c r="N33" s="2"/>
      <c r="O33" s="2"/>
      <c r="P33" s="2"/>
      <c r="Q33" s="2"/>
      <c r="R33" s="2"/>
      <c r="S33" s="2"/>
      <c r="T33" s="2"/>
      <c r="U33" s="2"/>
      <c r="V33" s="2"/>
      <c r="W33" s="2"/>
      <c r="X33" s="2"/>
      <c r="Y33" s="2"/>
      <c r="Z33" s="2"/>
      <c r="AA33" s="2"/>
    </row>
    <row r="34" spans="1:27" ht="13.2" x14ac:dyDescent="0.25">
      <c r="A34" s="2"/>
      <c r="B34" s="7"/>
      <c r="C34" s="2"/>
      <c r="D34" s="2"/>
      <c r="E34" s="2"/>
      <c r="F34" s="2"/>
      <c r="G34" s="2"/>
      <c r="H34" s="2"/>
      <c r="I34" s="2"/>
      <c r="J34" s="2"/>
      <c r="K34" s="2"/>
      <c r="L34" s="2"/>
      <c r="M34" s="2"/>
      <c r="N34" s="2"/>
      <c r="O34" s="2"/>
      <c r="P34" s="2"/>
      <c r="Q34" s="2"/>
      <c r="R34" s="2"/>
      <c r="S34" s="2"/>
      <c r="T34" s="2"/>
      <c r="U34" s="2"/>
      <c r="V34" s="2"/>
      <c r="W34" s="2"/>
      <c r="X34" s="2"/>
      <c r="Y34" s="2"/>
      <c r="Z34" s="2"/>
      <c r="AA34" s="2"/>
    </row>
    <row r="35" spans="1:27" ht="13.2" x14ac:dyDescent="0.25">
      <c r="A35" s="2"/>
      <c r="B35" s="7"/>
      <c r="C35" s="2"/>
      <c r="D35" s="2"/>
      <c r="E35" s="2"/>
      <c r="F35" s="2"/>
      <c r="G35" s="2"/>
      <c r="H35" s="2"/>
      <c r="I35" s="2"/>
      <c r="J35" s="2"/>
      <c r="K35" s="2"/>
      <c r="L35" s="2"/>
      <c r="M35" s="2"/>
      <c r="N35" s="2"/>
      <c r="O35" s="2"/>
      <c r="P35" s="2"/>
      <c r="Q35" s="2"/>
      <c r="R35" s="2"/>
      <c r="S35" s="2"/>
      <c r="T35" s="2"/>
      <c r="U35" s="2"/>
      <c r="V35" s="2"/>
      <c r="W35" s="2"/>
      <c r="X35" s="2"/>
      <c r="Y35" s="2"/>
      <c r="Z35" s="2"/>
      <c r="AA35" s="2"/>
    </row>
    <row r="36" spans="1:27" ht="13.2" x14ac:dyDescent="0.25">
      <c r="A36" s="2"/>
      <c r="B36" s="7"/>
      <c r="C36" s="2"/>
      <c r="D36" s="2"/>
      <c r="E36" s="2"/>
      <c r="F36" s="2"/>
      <c r="G36" s="2"/>
      <c r="H36" s="2"/>
      <c r="I36" s="2"/>
      <c r="J36" s="2"/>
      <c r="K36" s="2"/>
      <c r="L36" s="2"/>
      <c r="M36" s="2"/>
      <c r="N36" s="2"/>
      <c r="O36" s="2"/>
      <c r="P36" s="2"/>
      <c r="Q36" s="2"/>
      <c r="R36" s="2"/>
      <c r="S36" s="2"/>
      <c r="T36" s="2"/>
      <c r="U36" s="2"/>
      <c r="V36" s="2"/>
      <c r="W36" s="2"/>
      <c r="X36" s="2"/>
      <c r="Y36" s="2"/>
      <c r="Z36" s="2"/>
      <c r="AA36" s="2"/>
    </row>
    <row r="37" spans="1:27" ht="13.2" x14ac:dyDescent="0.25">
      <c r="A37" s="2"/>
      <c r="B37" s="7"/>
      <c r="C37" s="2"/>
      <c r="D37" s="2"/>
      <c r="E37" s="2"/>
      <c r="F37" s="2"/>
      <c r="G37" s="2"/>
      <c r="H37" s="2"/>
      <c r="I37" s="2"/>
      <c r="J37" s="2"/>
      <c r="K37" s="2"/>
      <c r="L37" s="2"/>
      <c r="M37" s="2"/>
      <c r="N37" s="2"/>
      <c r="O37" s="2"/>
      <c r="P37" s="2"/>
      <c r="Q37" s="2"/>
      <c r="R37" s="2"/>
      <c r="S37" s="2"/>
      <c r="T37" s="2"/>
      <c r="U37" s="2"/>
      <c r="V37" s="2"/>
      <c r="W37" s="2"/>
      <c r="X37" s="2"/>
      <c r="Y37" s="2"/>
      <c r="Z37" s="2"/>
      <c r="AA37" s="2"/>
    </row>
    <row r="38" spans="1:27" ht="13.2" x14ac:dyDescent="0.25">
      <c r="A38" s="2"/>
      <c r="B38" s="7"/>
      <c r="C38" s="2"/>
      <c r="D38" s="2"/>
      <c r="E38" s="2"/>
      <c r="F38" s="2"/>
      <c r="G38" s="2"/>
      <c r="H38" s="2"/>
      <c r="I38" s="2"/>
      <c r="J38" s="2"/>
      <c r="K38" s="2"/>
      <c r="L38" s="2"/>
      <c r="M38" s="2"/>
      <c r="N38" s="2"/>
      <c r="O38" s="2"/>
      <c r="P38" s="2"/>
      <c r="Q38" s="2"/>
      <c r="R38" s="2"/>
      <c r="S38" s="2"/>
      <c r="T38" s="2"/>
      <c r="U38" s="2"/>
      <c r="V38" s="2"/>
      <c r="W38" s="2"/>
      <c r="X38" s="2"/>
      <c r="Y38" s="2"/>
      <c r="Z38" s="2"/>
      <c r="AA38" s="2"/>
    </row>
    <row r="39" spans="1:27" ht="13.2" x14ac:dyDescent="0.25">
      <c r="A39" s="2"/>
      <c r="B39" s="7"/>
      <c r="C39" s="2"/>
      <c r="D39" s="2"/>
      <c r="E39" s="2"/>
      <c r="F39" s="2"/>
      <c r="G39" s="2"/>
      <c r="H39" s="2"/>
      <c r="I39" s="2"/>
      <c r="J39" s="2"/>
      <c r="K39" s="2"/>
      <c r="L39" s="2"/>
      <c r="M39" s="2"/>
      <c r="N39" s="2"/>
      <c r="O39" s="2"/>
      <c r="P39" s="2"/>
      <c r="Q39" s="2"/>
      <c r="R39" s="2"/>
      <c r="S39" s="2"/>
      <c r="T39" s="2"/>
      <c r="U39" s="2"/>
      <c r="V39" s="2"/>
      <c r="W39" s="2"/>
      <c r="X39" s="2"/>
      <c r="Y39" s="2"/>
      <c r="Z39" s="2"/>
      <c r="AA39" s="2"/>
    </row>
    <row r="40" spans="1:27" ht="13.2" x14ac:dyDescent="0.25">
      <c r="A40" s="2"/>
      <c r="B40" s="7"/>
      <c r="C40" s="2"/>
      <c r="D40" s="2"/>
      <c r="E40" s="2"/>
      <c r="F40" s="2"/>
      <c r="G40" s="2"/>
      <c r="H40" s="2"/>
      <c r="I40" s="2"/>
      <c r="J40" s="2"/>
      <c r="K40" s="2"/>
      <c r="L40" s="2"/>
      <c r="M40" s="2"/>
      <c r="N40" s="2"/>
      <c r="O40" s="2"/>
      <c r="P40" s="2"/>
      <c r="Q40" s="2"/>
      <c r="R40" s="2"/>
      <c r="S40" s="2"/>
      <c r="T40" s="2"/>
      <c r="U40" s="2"/>
      <c r="V40" s="2"/>
      <c r="W40" s="2"/>
      <c r="X40" s="2"/>
      <c r="Y40" s="2"/>
      <c r="Z40" s="2"/>
      <c r="AA40" s="2"/>
    </row>
    <row r="41" spans="1:27" ht="13.2" x14ac:dyDescent="0.25">
      <c r="A41" s="2"/>
      <c r="B41" s="7"/>
      <c r="C41" s="2"/>
      <c r="D41" s="2"/>
      <c r="E41" s="2"/>
      <c r="F41" s="2"/>
      <c r="G41" s="2"/>
      <c r="H41" s="2"/>
      <c r="I41" s="2"/>
      <c r="J41" s="2"/>
      <c r="K41" s="2"/>
      <c r="L41" s="2"/>
      <c r="M41" s="2"/>
      <c r="N41" s="2"/>
      <c r="O41" s="2"/>
      <c r="P41" s="2"/>
      <c r="Q41" s="2"/>
      <c r="R41" s="2"/>
      <c r="S41" s="2"/>
      <c r="T41" s="2"/>
      <c r="U41" s="2"/>
      <c r="V41" s="2"/>
      <c r="W41" s="2"/>
      <c r="X41" s="2"/>
      <c r="Y41" s="2"/>
      <c r="Z41" s="2"/>
      <c r="AA41" s="2"/>
    </row>
    <row r="42" spans="1:27" ht="13.2" x14ac:dyDescent="0.25">
      <c r="A42" s="2"/>
      <c r="B42" s="7"/>
      <c r="C42" s="2"/>
      <c r="D42" s="2"/>
      <c r="E42" s="2"/>
      <c r="F42" s="2"/>
      <c r="G42" s="2"/>
      <c r="H42" s="2"/>
      <c r="I42" s="2"/>
      <c r="J42" s="2"/>
      <c r="K42" s="2"/>
      <c r="L42" s="2"/>
      <c r="M42" s="2"/>
      <c r="N42" s="2"/>
      <c r="O42" s="2"/>
      <c r="P42" s="2"/>
      <c r="Q42" s="2"/>
      <c r="R42" s="2"/>
      <c r="S42" s="2"/>
      <c r="T42" s="2"/>
      <c r="U42" s="2"/>
      <c r="V42" s="2"/>
      <c r="W42" s="2"/>
      <c r="X42" s="2"/>
      <c r="Y42" s="2"/>
      <c r="Z42" s="2"/>
      <c r="AA42" s="2"/>
    </row>
    <row r="43" spans="1:27" ht="13.2" x14ac:dyDescent="0.25">
      <c r="A43" s="2"/>
      <c r="B43" s="7"/>
      <c r="C43" s="2"/>
      <c r="D43" s="2"/>
      <c r="E43" s="2"/>
      <c r="F43" s="2"/>
      <c r="G43" s="2"/>
      <c r="H43" s="2"/>
      <c r="I43" s="2"/>
      <c r="J43" s="2"/>
      <c r="K43" s="2"/>
      <c r="L43" s="2"/>
      <c r="M43" s="2"/>
      <c r="N43" s="2"/>
      <c r="O43" s="2"/>
      <c r="P43" s="2"/>
      <c r="Q43" s="2"/>
      <c r="R43" s="2"/>
      <c r="S43" s="2"/>
      <c r="T43" s="2"/>
      <c r="U43" s="2"/>
      <c r="V43" s="2"/>
      <c r="W43" s="2"/>
      <c r="X43" s="2"/>
      <c r="Y43" s="2"/>
      <c r="Z43" s="2"/>
      <c r="AA43" s="2"/>
    </row>
    <row r="44" spans="1:27" ht="13.2" x14ac:dyDescent="0.25">
      <c r="A44" s="2"/>
      <c r="B44" s="7"/>
      <c r="C44" s="2"/>
      <c r="D44" s="2"/>
      <c r="E44" s="2"/>
      <c r="F44" s="2"/>
      <c r="G44" s="2"/>
      <c r="H44" s="2"/>
      <c r="I44" s="2"/>
      <c r="J44" s="2"/>
      <c r="K44" s="2"/>
      <c r="L44" s="2"/>
      <c r="M44" s="2"/>
      <c r="N44" s="2"/>
      <c r="O44" s="2"/>
      <c r="P44" s="2"/>
      <c r="Q44" s="2"/>
      <c r="R44" s="2"/>
      <c r="S44" s="2"/>
      <c r="T44" s="2"/>
      <c r="U44" s="2"/>
      <c r="V44" s="2"/>
      <c r="W44" s="2"/>
      <c r="X44" s="2"/>
      <c r="Y44" s="2"/>
      <c r="Z44" s="2"/>
      <c r="AA44" s="2"/>
    </row>
    <row r="45" spans="1:27" ht="13.2" x14ac:dyDescent="0.25">
      <c r="A45" s="2"/>
      <c r="B45" s="7"/>
      <c r="C45" s="2"/>
      <c r="D45" s="2"/>
      <c r="E45" s="2"/>
      <c r="F45" s="2"/>
      <c r="G45" s="2"/>
      <c r="H45" s="2"/>
      <c r="I45" s="2"/>
      <c r="J45" s="2"/>
      <c r="K45" s="2"/>
      <c r="L45" s="2"/>
      <c r="M45" s="2"/>
      <c r="N45" s="2"/>
      <c r="O45" s="2"/>
      <c r="P45" s="2"/>
      <c r="Q45" s="2"/>
      <c r="R45" s="2"/>
      <c r="S45" s="2"/>
      <c r="T45" s="2"/>
      <c r="U45" s="2"/>
      <c r="V45" s="2"/>
      <c r="W45" s="2"/>
      <c r="X45" s="2"/>
      <c r="Y45" s="2"/>
      <c r="Z45" s="2"/>
      <c r="AA45" s="2"/>
    </row>
    <row r="46" spans="1:27" ht="13.2" x14ac:dyDescent="0.25">
      <c r="A46" s="2"/>
      <c r="B46" s="7"/>
      <c r="C46" s="2"/>
      <c r="D46" s="2"/>
      <c r="E46" s="2"/>
      <c r="F46" s="2"/>
      <c r="G46" s="2"/>
      <c r="H46" s="2"/>
      <c r="I46" s="2"/>
      <c r="J46" s="2"/>
      <c r="K46" s="2"/>
      <c r="L46" s="2"/>
      <c r="M46" s="2"/>
      <c r="N46" s="2"/>
      <c r="O46" s="2"/>
      <c r="P46" s="2"/>
      <c r="Q46" s="2"/>
      <c r="R46" s="2"/>
      <c r="S46" s="2"/>
      <c r="T46" s="2"/>
      <c r="U46" s="2"/>
      <c r="V46" s="2"/>
      <c r="W46" s="2"/>
      <c r="X46" s="2"/>
      <c r="Y46" s="2"/>
      <c r="Z46" s="2"/>
      <c r="AA46" s="2"/>
    </row>
    <row r="47" spans="1:27" ht="13.2" x14ac:dyDescent="0.25">
      <c r="A47" s="2"/>
      <c r="B47" s="7"/>
      <c r="C47" s="2"/>
      <c r="D47" s="2"/>
      <c r="E47" s="2"/>
      <c r="F47" s="2"/>
      <c r="G47" s="2"/>
      <c r="H47" s="2"/>
      <c r="I47" s="2"/>
      <c r="J47" s="2"/>
      <c r="K47" s="2"/>
      <c r="L47" s="2"/>
      <c r="M47" s="2"/>
      <c r="N47" s="2"/>
      <c r="O47" s="2"/>
      <c r="P47" s="2"/>
      <c r="Q47" s="2"/>
      <c r="R47" s="2"/>
      <c r="S47" s="2"/>
      <c r="T47" s="2"/>
      <c r="U47" s="2"/>
      <c r="V47" s="2"/>
      <c r="W47" s="2"/>
      <c r="X47" s="2"/>
      <c r="Y47" s="2"/>
      <c r="Z47" s="2"/>
      <c r="AA47" s="2"/>
    </row>
    <row r="48" spans="1:27" ht="13.2" x14ac:dyDescent="0.25">
      <c r="A48" s="2"/>
      <c r="B48" s="7"/>
      <c r="C48" s="2"/>
      <c r="D48" s="2"/>
      <c r="E48" s="2"/>
      <c r="F48" s="2"/>
      <c r="G48" s="2"/>
      <c r="H48" s="2"/>
      <c r="I48" s="2"/>
      <c r="J48" s="2"/>
      <c r="K48" s="2"/>
      <c r="L48" s="2"/>
      <c r="M48" s="2"/>
      <c r="N48" s="2"/>
      <c r="O48" s="2"/>
      <c r="P48" s="2"/>
      <c r="Q48" s="2"/>
      <c r="R48" s="2"/>
      <c r="S48" s="2"/>
      <c r="T48" s="2"/>
      <c r="U48" s="2"/>
      <c r="V48" s="2"/>
      <c r="W48" s="2"/>
      <c r="X48" s="2"/>
      <c r="Y48" s="2"/>
      <c r="Z48" s="2"/>
      <c r="AA48" s="2"/>
    </row>
    <row r="49" spans="1:27" ht="13.2" x14ac:dyDescent="0.25">
      <c r="A49" s="2"/>
      <c r="B49" s="7"/>
      <c r="C49" s="2"/>
      <c r="D49" s="2"/>
      <c r="E49" s="2"/>
      <c r="F49" s="2"/>
      <c r="G49" s="2"/>
      <c r="H49" s="2"/>
      <c r="I49" s="2"/>
      <c r="J49" s="2"/>
      <c r="K49" s="2"/>
      <c r="L49" s="2"/>
      <c r="M49" s="2"/>
      <c r="N49" s="2"/>
      <c r="O49" s="2"/>
      <c r="P49" s="2"/>
      <c r="Q49" s="2"/>
      <c r="R49" s="2"/>
      <c r="S49" s="2"/>
      <c r="T49" s="2"/>
      <c r="U49" s="2"/>
      <c r="V49" s="2"/>
      <c r="W49" s="2"/>
      <c r="X49" s="2"/>
      <c r="Y49" s="2"/>
      <c r="Z49" s="2"/>
      <c r="AA49" s="2"/>
    </row>
    <row r="50" spans="1:27" ht="13.2" x14ac:dyDescent="0.25">
      <c r="A50" s="2"/>
      <c r="B50" s="7"/>
      <c r="C50" s="2"/>
      <c r="D50" s="2"/>
      <c r="E50" s="2"/>
      <c r="F50" s="2"/>
      <c r="G50" s="2"/>
      <c r="H50" s="2"/>
      <c r="I50" s="2"/>
      <c r="J50" s="2"/>
      <c r="K50" s="2"/>
      <c r="L50" s="2"/>
      <c r="M50" s="2"/>
      <c r="N50" s="2"/>
      <c r="O50" s="2"/>
      <c r="P50" s="2"/>
      <c r="Q50" s="2"/>
      <c r="R50" s="2"/>
      <c r="S50" s="2"/>
      <c r="T50" s="2"/>
      <c r="U50" s="2"/>
      <c r="V50" s="2"/>
      <c r="W50" s="2"/>
      <c r="X50" s="2"/>
      <c r="Y50" s="2"/>
      <c r="Z50" s="2"/>
      <c r="AA50" s="2"/>
    </row>
    <row r="51" spans="1:27" ht="13.2" x14ac:dyDescent="0.25">
      <c r="A51" s="2"/>
      <c r="B51" s="7"/>
      <c r="C51" s="2"/>
      <c r="D51" s="2"/>
      <c r="E51" s="2"/>
      <c r="F51" s="2"/>
      <c r="G51" s="2"/>
      <c r="H51" s="2"/>
      <c r="I51" s="2"/>
      <c r="J51" s="2"/>
      <c r="K51" s="2"/>
      <c r="L51" s="2"/>
      <c r="M51" s="2"/>
      <c r="N51" s="2"/>
      <c r="O51" s="2"/>
      <c r="P51" s="2"/>
      <c r="Q51" s="2"/>
      <c r="R51" s="2"/>
      <c r="S51" s="2"/>
      <c r="T51" s="2"/>
      <c r="U51" s="2"/>
      <c r="V51" s="2"/>
      <c r="W51" s="2"/>
      <c r="X51" s="2"/>
      <c r="Y51" s="2"/>
      <c r="Z51" s="2"/>
      <c r="AA51" s="2"/>
    </row>
    <row r="52" spans="1:27" ht="13.2" x14ac:dyDescent="0.25">
      <c r="A52" s="2"/>
      <c r="B52" s="7"/>
      <c r="C52" s="2"/>
      <c r="D52" s="2"/>
      <c r="E52" s="2"/>
      <c r="F52" s="2"/>
      <c r="G52" s="2"/>
      <c r="H52" s="2"/>
      <c r="I52" s="2"/>
      <c r="J52" s="2"/>
      <c r="K52" s="2"/>
      <c r="L52" s="2"/>
      <c r="M52" s="2"/>
      <c r="N52" s="2"/>
      <c r="O52" s="2"/>
      <c r="P52" s="2"/>
      <c r="Q52" s="2"/>
      <c r="R52" s="2"/>
      <c r="S52" s="2"/>
      <c r="T52" s="2"/>
      <c r="U52" s="2"/>
      <c r="V52" s="2"/>
      <c r="W52" s="2"/>
      <c r="X52" s="2"/>
      <c r="Y52" s="2"/>
      <c r="Z52" s="2"/>
      <c r="AA52" s="2"/>
    </row>
    <row r="53" spans="1:27" ht="13.2" x14ac:dyDescent="0.25">
      <c r="A53" s="2"/>
      <c r="B53" s="7"/>
      <c r="C53" s="2"/>
      <c r="D53" s="2"/>
      <c r="E53" s="2"/>
      <c r="F53" s="2"/>
      <c r="G53" s="2"/>
      <c r="H53" s="2"/>
      <c r="I53" s="2"/>
      <c r="J53" s="2"/>
      <c r="K53" s="2"/>
      <c r="L53" s="2"/>
      <c r="M53" s="2"/>
      <c r="N53" s="2"/>
      <c r="O53" s="2"/>
      <c r="P53" s="2"/>
      <c r="Q53" s="2"/>
      <c r="R53" s="2"/>
      <c r="S53" s="2"/>
      <c r="T53" s="2"/>
      <c r="U53" s="2"/>
      <c r="V53" s="2"/>
      <c r="W53" s="2"/>
      <c r="X53" s="2"/>
      <c r="Y53" s="2"/>
      <c r="Z53" s="2"/>
      <c r="AA53" s="2"/>
    </row>
    <row r="54" spans="1:27" ht="13.2" x14ac:dyDescent="0.25">
      <c r="A54" s="2"/>
      <c r="B54" s="7"/>
      <c r="C54" s="2"/>
      <c r="D54" s="2"/>
      <c r="E54" s="2"/>
      <c r="F54" s="2"/>
      <c r="G54" s="2"/>
      <c r="H54" s="2"/>
      <c r="I54" s="2"/>
      <c r="J54" s="2"/>
      <c r="K54" s="2"/>
      <c r="L54" s="2"/>
      <c r="M54" s="2"/>
      <c r="N54" s="2"/>
      <c r="O54" s="2"/>
      <c r="P54" s="2"/>
      <c r="Q54" s="2"/>
      <c r="R54" s="2"/>
      <c r="S54" s="2"/>
      <c r="T54" s="2"/>
      <c r="U54" s="2"/>
      <c r="V54" s="2"/>
      <c r="W54" s="2"/>
      <c r="X54" s="2"/>
      <c r="Y54" s="2"/>
      <c r="Z54" s="2"/>
      <c r="AA54" s="2"/>
    </row>
    <row r="55" spans="1:27" ht="13.2" x14ac:dyDescent="0.25">
      <c r="A55" s="2"/>
      <c r="B55" s="7"/>
      <c r="C55" s="2"/>
      <c r="D55" s="2"/>
      <c r="E55" s="2"/>
      <c r="F55" s="2"/>
      <c r="G55" s="2"/>
      <c r="H55" s="2"/>
      <c r="I55" s="2"/>
      <c r="J55" s="2"/>
      <c r="K55" s="2"/>
      <c r="L55" s="2"/>
      <c r="M55" s="2"/>
      <c r="N55" s="2"/>
      <c r="O55" s="2"/>
      <c r="P55" s="2"/>
      <c r="Q55" s="2"/>
      <c r="R55" s="2"/>
      <c r="S55" s="2"/>
      <c r="T55" s="2"/>
      <c r="U55" s="2"/>
      <c r="V55" s="2"/>
      <c r="W55" s="2"/>
      <c r="X55" s="2"/>
      <c r="Y55" s="2"/>
      <c r="Z55" s="2"/>
      <c r="AA55" s="2"/>
    </row>
    <row r="56" spans="1:27" ht="13.2" x14ac:dyDescent="0.25">
      <c r="A56" s="2"/>
      <c r="B56" s="7"/>
      <c r="C56" s="2"/>
      <c r="D56" s="2"/>
      <c r="E56" s="2"/>
      <c r="F56" s="2"/>
      <c r="G56" s="2"/>
      <c r="H56" s="2"/>
      <c r="I56" s="2"/>
      <c r="J56" s="2"/>
      <c r="K56" s="2"/>
      <c r="L56" s="2"/>
      <c r="M56" s="2"/>
      <c r="N56" s="2"/>
      <c r="O56" s="2"/>
      <c r="P56" s="2"/>
      <c r="Q56" s="2"/>
      <c r="R56" s="2"/>
      <c r="S56" s="2"/>
      <c r="T56" s="2"/>
      <c r="U56" s="2"/>
      <c r="V56" s="2"/>
      <c r="W56" s="2"/>
      <c r="X56" s="2"/>
      <c r="Y56" s="2"/>
      <c r="Z56" s="2"/>
      <c r="AA56" s="2"/>
    </row>
    <row r="57" spans="1:27" ht="13.2" x14ac:dyDescent="0.25">
      <c r="A57" s="2"/>
      <c r="B57" s="7"/>
      <c r="C57" s="2"/>
      <c r="D57" s="2"/>
      <c r="E57" s="2"/>
      <c r="F57" s="2"/>
      <c r="G57" s="2"/>
      <c r="H57" s="2"/>
      <c r="I57" s="2"/>
      <c r="J57" s="2"/>
      <c r="K57" s="2"/>
      <c r="L57" s="2"/>
      <c r="M57" s="2"/>
      <c r="N57" s="2"/>
      <c r="O57" s="2"/>
      <c r="P57" s="2"/>
      <c r="Q57" s="2"/>
      <c r="R57" s="2"/>
      <c r="S57" s="2"/>
      <c r="T57" s="2"/>
      <c r="U57" s="2"/>
      <c r="V57" s="2"/>
      <c r="W57" s="2"/>
      <c r="X57" s="2"/>
      <c r="Y57" s="2"/>
      <c r="Z57" s="2"/>
      <c r="AA57" s="2"/>
    </row>
    <row r="58" spans="1:27" ht="13.2" x14ac:dyDescent="0.25">
      <c r="A58" s="2"/>
      <c r="B58" s="7"/>
      <c r="C58" s="2"/>
      <c r="D58" s="2"/>
      <c r="E58" s="2"/>
      <c r="F58" s="2"/>
      <c r="G58" s="2"/>
      <c r="H58" s="2"/>
      <c r="I58" s="2"/>
      <c r="J58" s="2"/>
      <c r="K58" s="2"/>
      <c r="L58" s="2"/>
      <c r="M58" s="2"/>
      <c r="N58" s="2"/>
      <c r="O58" s="2"/>
      <c r="P58" s="2"/>
      <c r="Q58" s="2"/>
      <c r="R58" s="2"/>
      <c r="S58" s="2"/>
      <c r="T58" s="2"/>
      <c r="U58" s="2"/>
      <c r="V58" s="2"/>
      <c r="W58" s="2"/>
      <c r="X58" s="2"/>
      <c r="Y58" s="2"/>
      <c r="Z58" s="2"/>
      <c r="AA58" s="2"/>
    </row>
    <row r="59" spans="1:27" ht="13.2" x14ac:dyDescent="0.25">
      <c r="A59" s="2"/>
      <c r="B59" s="7"/>
      <c r="C59" s="2"/>
      <c r="D59" s="2"/>
      <c r="E59" s="2"/>
      <c r="F59" s="2"/>
      <c r="G59" s="2"/>
      <c r="H59" s="2"/>
      <c r="I59" s="2"/>
      <c r="J59" s="2"/>
      <c r="K59" s="2"/>
      <c r="L59" s="2"/>
      <c r="M59" s="2"/>
      <c r="N59" s="2"/>
      <c r="O59" s="2"/>
      <c r="P59" s="2"/>
      <c r="Q59" s="2"/>
      <c r="R59" s="2"/>
      <c r="S59" s="2"/>
      <c r="T59" s="2"/>
      <c r="U59" s="2"/>
      <c r="V59" s="2"/>
      <c r="W59" s="2"/>
      <c r="X59" s="2"/>
      <c r="Y59" s="2"/>
      <c r="Z59" s="2"/>
      <c r="AA59" s="2"/>
    </row>
    <row r="60" spans="1:27" ht="13.2" x14ac:dyDescent="0.25">
      <c r="A60" s="2"/>
      <c r="B60" s="7"/>
      <c r="C60" s="2"/>
      <c r="D60" s="2"/>
      <c r="E60" s="2"/>
      <c r="F60" s="2"/>
      <c r="G60" s="2"/>
      <c r="H60" s="2"/>
      <c r="I60" s="2"/>
      <c r="J60" s="2"/>
      <c r="K60" s="2"/>
      <c r="L60" s="2"/>
      <c r="M60" s="2"/>
      <c r="N60" s="2"/>
      <c r="O60" s="2"/>
      <c r="P60" s="2"/>
      <c r="Q60" s="2"/>
      <c r="R60" s="2"/>
      <c r="S60" s="2"/>
      <c r="T60" s="2"/>
      <c r="U60" s="2"/>
      <c r="V60" s="2"/>
      <c r="W60" s="2"/>
      <c r="X60" s="2"/>
      <c r="Y60" s="2"/>
      <c r="Z60" s="2"/>
      <c r="AA60" s="2"/>
    </row>
    <row r="61" spans="1:27" ht="13.2" x14ac:dyDescent="0.25">
      <c r="A61" s="2"/>
      <c r="B61" s="7"/>
      <c r="C61" s="2"/>
      <c r="D61" s="2"/>
      <c r="E61" s="2"/>
      <c r="F61" s="2"/>
      <c r="G61" s="2"/>
      <c r="H61" s="2"/>
      <c r="I61" s="2"/>
      <c r="J61" s="2"/>
      <c r="K61" s="2"/>
      <c r="L61" s="2"/>
      <c r="M61" s="2"/>
      <c r="N61" s="2"/>
      <c r="O61" s="2"/>
      <c r="P61" s="2"/>
      <c r="Q61" s="2"/>
      <c r="R61" s="2"/>
      <c r="S61" s="2"/>
      <c r="T61" s="2"/>
      <c r="U61" s="2"/>
      <c r="V61" s="2"/>
      <c r="W61" s="2"/>
      <c r="X61" s="2"/>
      <c r="Y61" s="2"/>
      <c r="Z61" s="2"/>
      <c r="AA61" s="2"/>
    </row>
    <row r="62" spans="1:27" ht="13.2" x14ac:dyDescent="0.25">
      <c r="A62" s="2"/>
      <c r="B62" s="7"/>
      <c r="C62" s="2"/>
      <c r="D62" s="2"/>
      <c r="E62" s="2"/>
      <c r="F62" s="2"/>
      <c r="G62" s="2"/>
      <c r="H62" s="2"/>
      <c r="I62" s="2"/>
      <c r="J62" s="2"/>
      <c r="K62" s="2"/>
      <c r="L62" s="2"/>
      <c r="M62" s="2"/>
      <c r="N62" s="2"/>
      <c r="O62" s="2"/>
      <c r="P62" s="2"/>
      <c r="Q62" s="2"/>
      <c r="R62" s="2"/>
      <c r="S62" s="2"/>
      <c r="T62" s="2"/>
      <c r="U62" s="2"/>
      <c r="V62" s="2"/>
      <c r="W62" s="2"/>
      <c r="X62" s="2"/>
      <c r="Y62" s="2"/>
      <c r="Z62" s="2"/>
      <c r="AA62" s="2"/>
    </row>
    <row r="63" spans="1:27" ht="13.2" x14ac:dyDescent="0.25">
      <c r="A63" s="2"/>
      <c r="B63" s="7"/>
      <c r="C63" s="2"/>
      <c r="D63" s="2"/>
      <c r="E63" s="2"/>
      <c r="F63" s="2"/>
      <c r="G63" s="2"/>
      <c r="H63" s="2"/>
      <c r="I63" s="2"/>
      <c r="J63" s="2"/>
      <c r="K63" s="2"/>
      <c r="L63" s="2"/>
      <c r="M63" s="2"/>
      <c r="N63" s="2"/>
      <c r="O63" s="2"/>
      <c r="P63" s="2"/>
      <c r="Q63" s="2"/>
      <c r="R63" s="2"/>
      <c r="S63" s="2"/>
      <c r="T63" s="2"/>
      <c r="U63" s="2"/>
      <c r="V63" s="2"/>
      <c r="W63" s="2"/>
      <c r="X63" s="2"/>
      <c r="Y63" s="2"/>
      <c r="Z63" s="2"/>
      <c r="AA63" s="2"/>
    </row>
    <row r="64" spans="1:27" ht="13.2" x14ac:dyDescent="0.25">
      <c r="A64" s="2"/>
      <c r="B64" s="7"/>
      <c r="C64" s="2"/>
      <c r="D64" s="2"/>
      <c r="E64" s="2"/>
      <c r="F64" s="2"/>
      <c r="G64" s="2"/>
      <c r="H64" s="2"/>
      <c r="I64" s="2"/>
      <c r="J64" s="2"/>
      <c r="K64" s="2"/>
      <c r="L64" s="2"/>
      <c r="M64" s="2"/>
      <c r="N64" s="2"/>
      <c r="O64" s="2"/>
      <c r="P64" s="2"/>
      <c r="Q64" s="2"/>
      <c r="R64" s="2"/>
      <c r="S64" s="2"/>
      <c r="T64" s="2"/>
      <c r="U64" s="2"/>
      <c r="V64" s="2"/>
      <c r="W64" s="2"/>
      <c r="X64" s="2"/>
      <c r="Y64" s="2"/>
      <c r="Z64" s="2"/>
      <c r="AA64" s="2"/>
    </row>
    <row r="65" spans="1:27" ht="13.2" x14ac:dyDescent="0.25">
      <c r="A65" s="2"/>
      <c r="B65" s="7"/>
      <c r="C65" s="2"/>
      <c r="D65" s="2"/>
      <c r="E65" s="2"/>
      <c r="F65" s="2"/>
      <c r="G65" s="2"/>
      <c r="H65" s="2"/>
      <c r="I65" s="2"/>
      <c r="J65" s="2"/>
      <c r="K65" s="2"/>
      <c r="L65" s="2"/>
      <c r="M65" s="2"/>
      <c r="N65" s="2"/>
      <c r="O65" s="2"/>
      <c r="P65" s="2"/>
      <c r="Q65" s="2"/>
      <c r="R65" s="2"/>
      <c r="S65" s="2"/>
      <c r="T65" s="2"/>
      <c r="U65" s="2"/>
      <c r="V65" s="2"/>
      <c r="W65" s="2"/>
      <c r="X65" s="2"/>
      <c r="Y65" s="2"/>
      <c r="Z65" s="2"/>
      <c r="AA65" s="2"/>
    </row>
    <row r="66" spans="1:27" ht="13.2" x14ac:dyDescent="0.25">
      <c r="A66" s="2"/>
      <c r="B66" s="7"/>
      <c r="C66" s="2"/>
      <c r="D66" s="2"/>
      <c r="E66" s="2"/>
      <c r="F66" s="2"/>
      <c r="G66" s="2"/>
      <c r="H66" s="2"/>
      <c r="I66" s="2"/>
      <c r="J66" s="2"/>
      <c r="K66" s="2"/>
      <c r="L66" s="2"/>
      <c r="M66" s="2"/>
      <c r="N66" s="2"/>
      <c r="O66" s="2"/>
      <c r="P66" s="2"/>
      <c r="Q66" s="2"/>
      <c r="R66" s="2"/>
      <c r="S66" s="2"/>
      <c r="T66" s="2"/>
      <c r="U66" s="2"/>
      <c r="V66" s="2"/>
      <c r="W66" s="2"/>
      <c r="X66" s="2"/>
      <c r="Y66" s="2"/>
      <c r="Z66" s="2"/>
      <c r="AA66" s="2"/>
    </row>
    <row r="67" spans="1:27" ht="13.2" x14ac:dyDescent="0.25">
      <c r="A67" s="2"/>
      <c r="B67" s="7"/>
      <c r="C67" s="2"/>
      <c r="D67" s="2"/>
      <c r="E67" s="2"/>
      <c r="F67" s="2"/>
      <c r="G67" s="2"/>
      <c r="H67" s="2"/>
      <c r="I67" s="2"/>
      <c r="J67" s="2"/>
      <c r="K67" s="2"/>
      <c r="L67" s="2"/>
      <c r="M67" s="2"/>
      <c r="N67" s="2"/>
      <c r="O67" s="2"/>
      <c r="P67" s="2"/>
      <c r="Q67" s="2"/>
      <c r="R67" s="2"/>
      <c r="S67" s="2"/>
      <c r="T67" s="2"/>
      <c r="U67" s="2"/>
      <c r="V67" s="2"/>
      <c r="W67" s="2"/>
      <c r="X67" s="2"/>
      <c r="Y67" s="2"/>
      <c r="Z67" s="2"/>
      <c r="AA67" s="2"/>
    </row>
    <row r="68" spans="1:27" ht="13.2" x14ac:dyDescent="0.25">
      <c r="A68" s="2"/>
      <c r="B68" s="7"/>
      <c r="C68" s="2"/>
      <c r="D68" s="2"/>
      <c r="E68" s="2"/>
      <c r="F68" s="2"/>
      <c r="G68" s="2"/>
      <c r="H68" s="2"/>
      <c r="I68" s="2"/>
      <c r="J68" s="2"/>
      <c r="K68" s="2"/>
      <c r="L68" s="2"/>
      <c r="M68" s="2"/>
      <c r="N68" s="2"/>
      <c r="O68" s="2"/>
      <c r="P68" s="2"/>
      <c r="Q68" s="2"/>
      <c r="R68" s="2"/>
      <c r="S68" s="2"/>
      <c r="T68" s="2"/>
      <c r="U68" s="2"/>
      <c r="V68" s="2"/>
      <c r="W68" s="2"/>
      <c r="X68" s="2"/>
      <c r="Y68" s="2"/>
      <c r="Z68" s="2"/>
      <c r="AA68" s="2"/>
    </row>
    <row r="69" spans="1:27" ht="13.2" x14ac:dyDescent="0.25">
      <c r="A69" s="2"/>
      <c r="B69" s="7"/>
      <c r="C69" s="2"/>
      <c r="D69" s="2"/>
      <c r="E69" s="2"/>
      <c r="F69" s="2"/>
      <c r="G69" s="2"/>
      <c r="H69" s="2"/>
      <c r="I69" s="2"/>
      <c r="J69" s="2"/>
      <c r="K69" s="2"/>
      <c r="L69" s="2"/>
      <c r="M69" s="2"/>
      <c r="N69" s="2"/>
      <c r="O69" s="2"/>
      <c r="P69" s="2"/>
      <c r="Q69" s="2"/>
      <c r="R69" s="2"/>
      <c r="S69" s="2"/>
      <c r="T69" s="2"/>
      <c r="U69" s="2"/>
      <c r="V69" s="2"/>
      <c r="W69" s="2"/>
      <c r="X69" s="2"/>
      <c r="Y69" s="2"/>
      <c r="Z69" s="2"/>
      <c r="AA69" s="2"/>
    </row>
    <row r="70" spans="1:27" ht="13.2" x14ac:dyDescent="0.25">
      <c r="A70" s="2"/>
      <c r="B70" s="7"/>
      <c r="C70" s="2"/>
      <c r="D70" s="2"/>
      <c r="E70" s="2"/>
      <c r="F70" s="2"/>
      <c r="G70" s="2"/>
      <c r="H70" s="2"/>
      <c r="I70" s="2"/>
      <c r="J70" s="2"/>
      <c r="K70" s="2"/>
      <c r="L70" s="2"/>
      <c r="M70" s="2"/>
      <c r="N70" s="2"/>
      <c r="O70" s="2"/>
      <c r="P70" s="2"/>
      <c r="Q70" s="2"/>
      <c r="R70" s="2"/>
      <c r="S70" s="2"/>
      <c r="T70" s="2"/>
      <c r="U70" s="2"/>
      <c r="V70" s="2"/>
      <c r="W70" s="2"/>
      <c r="X70" s="2"/>
      <c r="Y70" s="2"/>
      <c r="Z70" s="2"/>
      <c r="AA70" s="2"/>
    </row>
    <row r="71" spans="1:27" ht="13.2" x14ac:dyDescent="0.25">
      <c r="A71" s="2"/>
      <c r="B71" s="7"/>
      <c r="C71" s="2"/>
      <c r="D71" s="2"/>
      <c r="E71" s="2"/>
      <c r="F71" s="2"/>
      <c r="G71" s="2"/>
      <c r="H71" s="2"/>
      <c r="I71" s="2"/>
      <c r="J71" s="2"/>
      <c r="K71" s="2"/>
      <c r="L71" s="2"/>
      <c r="M71" s="2"/>
      <c r="N71" s="2"/>
      <c r="O71" s="2"/>
      <c r="P71" s="2"/>
      <c r="Q71" s="2"/>
      <c r="R71" s="2"/>
      <c r="S71" s="2"/>
      <c r="T71" s="2"/>
      <c r="U71" s="2"/>
      <c r="V71" s="2"/>
      <c r="W71" s="2"/>
      <c r="X71" s="2"/>
      <c r="Y71" s="2"/>
      <c r="Z71" s="2"/>
      <c r="AA71" s="2"/>
    </row>
    <row r="72" spans="1:27" ht="13.2" x14ac:dyDescent="0.25">
      <c r="A72" s="2"/>
      <c r="B72" s="7"/>
      <c r="C72" s="2"/>
      <c r="D72" s="2"/>
      <c r="E72" s="2"/>
      <c r="F72" s="2"/>
      <c r="G72" s="2"/>
      <c r="H72" s="2"/>
      <c r="I72" s="2"/>
      <c r="J72" s="2"/>
      <c r="K72" s="2"/>
      <c r="L72" s="2"/>
      <c r="M72" s="2"/>
      <c r="N72" s="2"/>
      <c r="O72" s="2"/>
      <c r="P72" s="2"/>
      <c r="Q72" s="2"/>
      <c r="R72" s="2"/>
      <c r="S72" s="2"/>
      <c r="T72" s="2"/>
      <c r="U72" s="2"/>
      <c r="V72" s="2"/>
      <c r="W72" s="2"/>
      <c r="X72" s="2"/>
      <c r="Y72" s="2"/>
      <c r="Z72" s="2"/>
      <c r="AA72" s="2"/>
    </row>
    <row r="73" spans="1:27" ht="13.2" x14ac:dyDescent="0.25">
      <c r="A73" s="2"/>
      <c r="B73" s="7"/>
      <c r="C73" s="2"/>
      <c r="D73" s="2"/>
      <c r="E73" s="2"/>
      <c r="F73" s="2"/>
      <c r="G73" s="2"/>
      <c r="H73" s="2"/>
      <c r="I73" s="2"/>
      <c r="J73" s="2"/>
      <c r="K73" s="2"/>
      <c r="L73" s="2"/>
      <c r="M73" s="2"/>
      <c r="N73" s="2"/>
      <c r="O73" s="2"/>
      <c r="P73" s="2"/>
      <c r="Q73" s="2"/>
      <c r="R73" s="2"/>
      <c r="S73" s="2"/>
      <c r="T73" s="2"/>
      <c r="U73" s="2"/>
      <c r="V73" s="2"/>
      <c r="W73" s="2"/>
      <c r="X73" s="2"/>
      <c r="Y73" s="2"/>
      <c r="Z73" s="2"/>
      <c r="AA73" s="2"/>
    </row>
    <row r="74" spans="1:27" ht="13.2" x14ac:dyDescent="0.25">
      <c r="A74" s="2"/>
      <c r="B74" s="7"/>
      <c r="C74" s="2"/>
      <c r="D74" s="2"/>
      <c r="E74" s="2"/>
      <c r="F74" s="2"/>
      <c r="G74" s="2"/>
      <c r="H74" s="2"/>
      <c r="I74" s="2"/>
      <c r="J74" s="2"/>
      <c r="K74" s="2"/>
      <c r="L74" s="2"/>
      <c r="M74" s="2"/>
      <c r="N74" s="2"/>
      <c r="O74" s="2"/>
      <c r="P74" s="2"/>
      <c r="Q74" s="2"/>
      <c r="R74" s="2"/>
      <c r="S74" s="2"/>
      <c r="T74" s="2"/>
      <c r="U74" s="2"/>
      <c r="V74" s="2"/>
      <c r="W74" s="2"/>
      <c r="X74" s="2"/>
      <c r="Y74" s="2"/>
      <c r="Z74" s="2"/>
      <c r="AA74" s="2"/>
    </row>
    <row r="75" spans="1:27" ht="13.2" x14ac:dyDescent="0.25">
      <c r="A75" s="2"/>
      <c r="B75" s="7"/>
      <c r="C75" s="2"/>
      <c r="D75" s="2"/>
      <c r="E75" s="2"/>
      <c r="F75" s="2"/>
      <c r="G75" s="2"/>
      <c r="H75" s="2"/>
      <c r="I75" s="2"/>
      <c r="J75" s="2"/>
      <c r="K75" s="2"/>
      <c r="L75" s="2"/>
      <c r="M75" s="2"/>
      <c r="N75" s="2"/>
      <c r="O75" s="2"/>
      <c r="P75" s="2"/>
      <c r="Q75" s="2"/>
      <c r="R75" s="2"/>
      <c r="S75" s="2"/>
      <c r="T75" s="2"/>
      <c r="U75" s="2"/>
      <c r="V75" s="2"/>
      <c r="W75" s="2"/>
      <c r="X75" s="2"/>
      <c r="Y75" s="2"/>
      <c r="Z75" s="2"/>
      <c r="AA75" s="2"/>
    </row>
    <row r="76" spans="1:27" ht="13.2" x14ac:dyDescent="0.25">
      <c r="A76" s="2"/>
      <c r="B76" s="7"/>
      <c r="C76" s="2"/>
      <c r="D76" s="2"/>
      <c r="E76" s="2"/>
      <c r="F76" s="2"/>
      <c r="G76" s="2"/>
      <c r="H76" s="2"/>
      <c r="I76" s="2"/>
      <c r="J76" s="2"/>
      <c r="K76" s="2"/>
      <c r="L76" s="2"/>
      <c r="M76" s="2"/>
      <c r="N76" s="2"/>
      <c r="O76" s="2"/>
      <c r="P76" s="2"/>
      <c r="Q76" s="2"/>
      <c r="R76" s="2"/>
      <c r="S76" s="2"/>
      <c r="T76" s="2"/>
      <c r="U76" s="2"/>
      <c r="V76" s="2"/>
      <c r="W76" s="2"/>
      <c r="X76" s="2"/>
      <c r="Y76" s="2"/>
      <c r="Z76" s="2"/>
      <c r="AA76" s="2"/>
    </row>
    <row r="77" spans="1:27" ht="13.2" x14ac:dyDescent="0.25">
      <c r="A77" s="2"/>
      <c r="B77" s="7"/>
      <c r="C77" s="2"/>
      <c r="D77" s="2"/>
      <c r="E77" s="2"/>
      <c r="F77" s="2"/>
      <c r="G77" s="2"/>
      <c r="H77" s="2"/>
      <c r="I77" s="2"/>
      <c r="J77" s="2"/>
      <c r="K77" s="2"/>
      <c r="L77" s="2"/>
      <c r="M77" s="2"/>
      <c r="N77" s="2"/>
      <c r="O77" s="2"/>
      <c r="P77" s="2"/>
      <c r="Q77" s="2"/>
      <c r="R77" s="2"/>
      <c r="S77" s="2"/>
      <c r="T77" s="2"/>
      <c r="U77" s="2"/>
      <c r="V77" s="2"/>
      <c r="W77" s="2"/>
      <c r="X77" s="2"/>
      <c r="Y77" s="2"/>
      <c r="Z77" s="2"/>
      <c r="AA77" s="2"/>
    </row>
    <row r="78" spans="1:27" ht="13.2" x14ac:dyDescent="0.25">
      <c r="A78" s="2"/>
      <c r="B78" s="7"/>
      <c r="C78" s="2"/>
      <c r="D78" s="2"/>
      <c r="E78" s="2"/>
      <c r="F78" s="2"/>
      <c r="G78" s="2"/>
      <c r="H78" s="2"/>
      <c r="I78" s="2"/>
      <c r="J78" s="2"/>
      <c r="K78" s="2"/>
      <c r="L78" s="2"/>
      <c r="M78" s="2"/>
      <c r="N78" s="2"/>
      <c r="O78" s="2"/>
      <c r="P78" s="2"/>
      <c r="Q78" s="2"/>
      <c r="R78" s="2"/>
      <c r="S78" s="2"/>
      <c r="T78" s="2"/>
      <c r="U78" s="2"/>
      <c r="V78" s="2"/>
      <c r="W78" s="2"/>
      <c r="X78" s="2"/>
      <c r="Y78" s="2"/>
      <c r="Z78" s="2"/>
      <c r="AA78" s="2"/>
    </row>
    <row r="79" spans="1:27" ht="13.2" x14ac:dyDescent="0.25">
      <c r="A79" s="2"/>
      <c r="B79" s="7"/>
      <c r="C79" s="2"/>
      <c r="D79" s="2"/>
      <c r="E79" s="2"/>
      <c r="F79" s="2"/>
      <c r="G79" s="2"/>
      <c r="H79" s="2"/>
      <c r="I79" s="2"/>
      <c r="J79" s="2"/>
      <c r="K79" s="2"/>
      <c r="L79" s="2"/>
      <c r="M79" s="2"/>
      <c r="N79" s="2"/>
      <c r="O79" s="2"/>
      <c r="P79" s="2"/>
      <c r="Q79" s="2"/>
      <c r="R79" s="2"/>
      <c r="S79" s="2"/>
      <c r="T79" s="2"/>
      <c r="U79" s="2"/>
      <c r="V79" s="2"/>
      <c r="W79" s="2"/>
      <c r="X79" s="2"/>
      <c r="Y79" s="2"/>
      <c r="Z79" s="2"/>
      <c r="AA79" s="2"/>
    </row>
    <row r="80" spans="1:27" ht="13.2" x14ac:dyDescent="0.25">
      <c r="A80" s="2"/>
      <c r="B80" s="7"/>
      <c r="C80" s="2"/>
      <c r="D80" s="2"/>
      <c r="E80" s="2"/>
      <c r="F80" s="2"/>
      <c r="G80" s="2"/>
      <c r="H80" s="2"/>
      <c r="I80" s="2"/>
      <c r="J80" s="2"/>
      <c r="K80" s="2"/>
      <c r="L80" s="2"/>
      <c r="M80" s="2"/>
      <c r="N80" s="2"/>
      <c r="O80" s="2"/>
      <c r="P80" s="2"/>
      <c r="Q80" s="2"/>
      <c r="R80" s="2"/>
      <c r="S80" s="2"/>
      <c r="T80" s="2"/>
      <c r="U80" s="2"/>
      <c r="V80" s="2"/>
      <c r="W80" s="2"/>
      <c r="X80" s="2"/>
      <c r="Y80" s="2"/>
      <c r="Z80" s="2"/>
      <c r="AA80" s="2"/>
    </row>
    <row r="81" spans="1:27" ht="13.2" x14ac:dyDescent="0.25">
      <c r="A81" s="2"/>
      <c r="B81" s="7"/>
      <c r="C81" s="2"/>
      <c r="D81" s="2"/>
      <c r="E81" s="2"/>
      <c r="F81" s="2"/>
      <c r="G81" s="2"/>
      <c r="H81" s="2"/>
      <c r="I81" s="2"/>
      <c r="J81" s="2"/>
      <c r="K81" s="2"/>
      <c r="L81" s="2"/>
      <c r="M81" s="2"/>
      <c r="N81" s="2"/>
      <c r="O81" s="2"/>
      <c r="P81" s="2"/>
      <c r="Q81" s="2"/>
      <c r="R81" s="2"/>
      <c r="S81" s="2"/>
      <c r="T81" s="2"/>
      <c r="U81" s="2"/>
      <c r="V81" s="2"/>
      <c r="W81" s="2"/>
      <c r="X81" s="2"/>
      <c r="Y81" s="2"/>
      <c r="Z81" s="2"/>
      <c r="AA81" s="2"/>
    </row>
    <row r="82" spans="1:27" ht="13.2" x14ac:dyDescent="0.25">
      <c r="A82" s="2"/>
      <c r="B82" s="7"/>
      <c r="C82" s="2"/>
      <c r="D82" s="2"/>
      <c r="E82" s="2"/>
      <c r="F82" s="2"/>
      <c r="G82" s="2"/>
      <c r="H82" s="2"/>
      <c r="I82" s="2"/>
      <c r="J82" s="2"/>
      <c r="K82" s="2"/>
      <c r="L82" s="2"/>
      <c r="M82" s="2"/>
      <c r="N82" s="2"/>
      <c r="O82" s="2"/>
      <c r="P82" s="2"/>
      <c r="Q82" s="2"/>
      <c r="R82" s="2"/>
      <c r="S82" s="2"/>
      <c r="T82" s="2"/>
      <c r="U82" s="2"/>
      <c r="V82" s="2"/>
      <c r="W82" s="2"/>
      <c r="X82" s="2"/>
      <c r="Y82" s="2"/>
      <c r="Z82" s="2"/>
      <c r="AA82" s="2"/>
    </row>
    <row r="83" spans="1:27" ht="13.2" x14ac:dyDescent="0.25">
      <c r="A83" s="2"/>
      <c r="B83" s="7"/>
      <c r="C83" s="2"/>
      <c r="D83" s="2"/>
      <c r="E83" s="2"/>
      <c r="F83" s="2"/>
      <c r="G83" s="2"/>
      <c r="H83" s="2"/>
      <c r="I83" s="2"/>
      <c r="J83" s="2"/>
      <c r="K83" s="2"/>
      <c r="L83" s="2"/>
      <c r="M83" s="2"/>
      <c r="N83" s="2"/>
      <c r="O83" s="2"/>
      <c r="P83" s="2"/>
      <c r="Q83" s="2"/>
      <c r="R83" s="2"/>
      <c r="S83" s="2"/>
      <c r="T83" s="2"/>
      <c r="U83" s="2"/>
      <c r="V83" s="2"/>
      <c r="W83" s="2"/>
      <c r="X83" s="2"/>
      <c r="Y83" s="2"/>
      <c r="Z83" s="2"/>
      <c r="AA83" s="2"/>
    </row>
    <row r="84" spans="1:27" ht="13.2" x14ac:dyDescent="0.25">
      <c r="A84" s="2"/>
      <c r="B84" s="7"/>
      <c r="C84" s="2"/>
      <c r="D84" s="2"/>
      <c r="E84" s="2"/>
      <c r="F84" s="2"/>
      <c r="G84" s="2"/>
      <c r="H84" s="2"/>
      <c r="I84" s="2"/>
      <c r="J84" s="2"/>
      <c r="K84" s="2"/>
      <c r="L84" s="2"/>
      <c r="M84" s="2"/>
      <c r="N84" s="2"/>
      <c r="O84" s="2"/>
      <c r="P84" s="2"/>
      <c r="Q84" s="2"/>
      <c r="R84" s="2"/>
      <c r="S84" s="2"/>
      <c r="T84" s="2"/>
      <c r="U84" s="2"/>
      <c r="V84" s="2"/>
      <c r="W84" s="2"/>
      <c r="X84" s="2"/>
      <c r="Y84" s="2"/>
      <c r="Z84" s="2"/>
      <c r="AA84" s="2"/>
    </row>
    <row r="85" spans="1:27" ht="13.2" x14ac:dyDescent="0.25">
      <c r="A85" s="2"/>
      <c r="B85" s="7"/>
      <c r="C85" s="2"/>
      <c r="D85" s="2"/>
      <c r="E85" s="2"/>
      <c r="F85" s="2"/>
      <c r="G85" s="2"/>
      <c r="H85" s="2"/>
      <c r="I85" s="2"/>
      <c r="J85" s="2"/>
      <c r="K85" s="2"/>
      <c r="L85" s="2"/>
      <c r="M85" s="2"/>
      <c r="N85" s="2"/>
      <c r="O85" s="2"/>
      <c r="P85" s="2"/>
      <c r="Q85" s="2"/>
      <c r="R85" s="2"/>
      <c r="S85" s="2"/>
      <c r="T85" s="2"/>
      <c r="U85" s="2"/>
      <c r="V85" s="2"/>
      <c r="W85" s="2"/>
      <c r="X85" s="2"/>
      <c r="Y85" s="2"/>
      <c r="Z85" s="2"/>
      <c r="AA85" s="2"/>
    </row>
    <row r="86" spans="1:27" ht="13.2" x14ac:dyDescent="0.25">
      <c r="A86" s="2"/>
      <c r="B86" s="7"/>
      <c r="C86" s="2"/>
      <c r="D86" s="2"/>
      <c r="E86" s="2"/>
      <c r="F86" s="2"/>
      <c r="G86" s="2"/>
      <c r="H86" s="2"/>
      <c r="I86" s="2"/>
      <c r="J86" s="2"/>
      <c r="K86" s="2"/>
      <c r="L86" s="2"/>
      <c r="M86" s="2"/>
      <c r="N86" s="2"/>
      <c r="O86" s="2"/>
      <c r="P86" s="2"/>
      <c r="Q86" s="2"/>
      <c r="R86" s="2"/>
      <c r="S86" s="2"/>
      <c r="T86" s="2"/>
      <c r="U86" s="2"/>
      <c r="V86" s="2"/>
      <c r="W86" s="2"/>
      <c r="X86" s="2"/>
      <c r="Y86" s="2"/>
      <c r="Z86" s="2"/>
      <c r="AA86" s="2"/>
    </row>
    <row r="87" spans="1:27" ht="13.2" x14ac:dyDescent="0.25">
      <c r="A87" s="2"/>
      <c r="B87" s="7"/>
      <c r="C87" s="2"/>
      <c r="D87" s="2"/>
      <c r="E87" s="2"/>
      <c r="F87" s="2"/>
      <c r="G87" s="2"/>
      <c r="H87" s="2"/>
      <c r="I87" s="2"/>
      <c r="J87" s="2"/>
      <c r="K87" s="2"/>
      <c r="L87" s="2"/>
      <c r="M87" s="2"/>
      <c r="N87" s="2"/>
      <c r="O87" s="2"/>
      <c r="P87" s="2"/>
      <c r="Q87" s="2"/>
      <c r="R87" s="2"/>
      <c r="S87" s="2"/>
      <c r="T87" s="2"/>
      <c r="U87" s="2"/>
      <c r="V87" s="2"/>
      <c r="W87" s="2"/>
      <c r="X87" s="2"/>
      <c r="Y87" s="2"/>
      <c r="Z87" s="2"/>
      <c r="AA87" s="2"/>
    </row>
    <row r="88" spans="1:27" ht="13.2" x14ac:dyDescent="0.25">
      <c r="A88" s="2"/>
      <c r="B88" s="7"/>
      <c r="C88" s="2"/>
      <c r="D88" s="2"/>
      <c r="E88" s="2"/>
      <c r="F88" s="2"/>
      <c r="G88" s="2"/>
      <c r="H88" s="2"/>
      <c r="I88" s="2"/>
      <c r="J88" s="2"/>
      <c r="K88" s="2"/>
      <c r="L88" s="2"/>
      <c r="M88" s="2"/>
      <c r="N88" s="2"/>
      <c r="O88" s="2"/>
      <c r="P88" s="2"/>
      <c r="Q88" s="2"/>
      <c r="R88" s="2"/>
      <c r="S88" s="2"/>
      <c r="T88" s="2"/>
      <c r="U88" s="2"/>
      <c r="V88" s="2"/>
      <c r="W88" s="2"/>
      <c r="X88" s="2"/>
      <c r="Y88" s="2"/>
      <c r="Z88" s="2"/>
      <c r="AA88" s="2"/>
    </row>
    <row r="89" spans="1:27" ht="13.2" x14ac:dyDescent="0.25">
      <c r="A89" s="2"/>
      <c r="B89" s="7"/>
      <c r="C89" s="2"/>
      <c r="D89" s="2"/>
      <c r="E89" s="2"/>
      <c r="F89" s="2"/>
      <c r="G89" s="2"/>
      <c r="H89" s="2"/>
      <c r="I89" s="2"/>
      <c r="J89" s="2"/>
      <c r="K89" s="2"/>
      <c r="L89" s="2"/>
      <c r="M89" s="2"/>
      <c r="N89" s="2"/>
      <c r="O89" s="2"/>
      <c r="P89" s="2"/>
      <c r="Q89" s="2"/>
      <c r="R89" s="2"/>
      <c r="S89" s="2"/>
      <c r="T89" s="2"/>
      <c r="U89" s="2"/>
      <c r="V89" s="2"/>
      <c r="W89" s="2"/>
      <c r="X89" s="2"/>
      <c r="Y89" s="2"/>
      <c r="Z89" s="2"/>
      <c r="AA89" s="2"/>
    </row>
    <row r="90" spans="1:27" ht="13.2" x14ac:dyDescent="0.25">
      <c r="A90" s="2"/>
      <c r="B90" s="7"/>
      <c r="C90" s="2"/>
      <c r="D90" s="2"/>
      <c r="E90" s="2"/>
      <c r="F90" s="2"/>
      <c r="G90" s="2"/>
      <c r="H90" s="2"/>
      <c r="I90" s="2"/>
      <c r="J90" s="2"/>
      <c r="K90" s="2"/>
      <c r="L90" s="2"/>
      <c r="M90" s="2"/>
      <c r="N90" s="2"/>
      <c r="O90" s="2"/>
      <c r="P90" s="2"/>
      <c r="Q90" s="2"/>
      <c r="R90" s="2"/>
      <c r="S90" s="2"/>
      <c r="T90" s="2"/>
      <c r="U90" s="2"/>
      <c r="V90" s="2"/>
      <c r="W90" s="2"/>
      <c r="X90" s="2"/>
      <c r="Y90" s="2"/>
      <c r="Z90" s="2"/>
      <c r="AA90" s="2"/>
    </row>
    <row r="91" spans="1:27" ht="13.2" x14ac:dyDescent="0.25">
      <c r="A91" s="2"/>
      <c r="B91" s="7"/>
      <c r="C91" s="2"/>
      <c r="D91" s="2"/>
      <c r="E91" s="2"/>
      <c r="F91" s="2"/>
      <c r="G91" s="2"/>
      <c r="H91" s="2"/>
      <c r="I91" s="2"/>
      <c r="J91" s="2"/>
      <c r="K91" s="2"/>
      <c r="L91" s="2"/>
      <c r="M91" s="2"/>
      <c r="N91" s="2"/>
      <c r="O91" s="2"/>
      <c r="P91" s="2"/>
      <c r="Q91" s="2"/>
      <c r="R91" s="2"/>
      <c r="S91" s="2"/>
      <c r="T91" s="2"/>
      <c r="U91" s="2"/>
      <c r="V91" s="2"/>
      <c r="W91" s="2"/>
      <c r="X91" s="2"/>
      <c r="Y91" s="2"/>
      <c r="Z91" s="2"/>
      <c r="AA91" s="2"/>
    </row>
    <row r="92" spans="1:27" ht="13.2" x14ac:dyDescent="0.25">
      <c r="A92" s="2"/>
      <c r="B92" s="7"/>
      <c r="C92" s="2"/>
      <c r="D92" s="2"/>
      <c r="E92" s="2"/>
      <c r="F92" s="2"/>
      <c r="G92" s="2"/>
      <c r="H92" s="2"/>
      <c r="I92" s="2"/>
      <c r="J92" s="2"/>
      <c r="K92" s="2"/>
      <c r="L92" s="2"/>
      <c r="M92" s="2"/>
      <c r="N92" s="2"/>
      <c r="O92" s="2"/>
      <c r="P92" s="2"/>
      <c r="Q92" s="2"/>
      <c r="R92" s="2"/>
      <c r="S92" s="2"/>
      <c r="T92" s="2"/>
      <c r="U92" s="2"/>
      <c r="V92" s="2"/>
      <c r="W92" s="2"/>
      <c r="X92" s="2"/>
      <c r="Y92" s="2"/>
      <c r="Z92" s="2"/>
      <c r="AA92" s="2"/>
    </row>
    <row r="93" spans="1:27" ht="13.2" x14ac:dyDescent="0.25">
      <c r="A93" s="2"/>
      <c r="B93" s="7"/>
      <c r="C93" s="2"/>
      <c r="D93" s="2"/>
      <c r="E93" s="2"/>
      <c r="F93" s="2"/>
      <c r="G93" s="2"/>
      <c r="H93" s="2"/>
      <c r="I93" s="2"/>
      <c r="J93" s="2"/>
      <c r="K93" s="2"/>
      <c r="L93" s="2"/>
      <c r="M93" s="2"/>
      <c r="N93" s="2"/>
      <c r="O93" s="2"/>
      <c r="P93" s="2"/>
      <c r="Q93" s="2"/>
      <c r="R93" s="2"/>
      <c r="S93" s="2"/>
      <c r="T93" s="2"/>
      <c r="U93" s="2"/>
      <c r="V93" s="2"/>
      <c r="W93" s="2"/>
      <c r="X93" s="2"/>
      <c r="Y93" s="2"/>
      <c r="Z93" s="2"/>
      <c r="AA93" s="2"/>
    </row>
    <row r="94" spans="1:27" ht="13.2" x14ac:dyDescent="0.25">
      <c r="A94" s="2"/>
      <c r="B94" s="7"/>
      <c r="C94" s="2"/>
      <c r="D94" s="2"/>
      <c r="E94" s="2"/>
      <c r="F94" s="2"/>
      <c r="G94" s="2"/>
      <c r="H94" s="2"/>
      <c r="I94" s="2"/>
      <c r="J94" s="2"/>
      <c r="K94" s="2"/>
      <c r="L94" s="2"/>
      <c r="M94" s="2"/>
      <c r="N94" s="2"/>
      <c r="O94" s="2"/>
      <c r="P94" s="2"/>
      <c r="Q94" s="2"/>
      <c r="R94" s="2"/>
      <c r="S94" s="2"/>
      <c r="T94" s="2"/>
      <c r="U94" s="2"/>
      <c r="V94" s="2"/>
      <c r="W94" s="2"/>
      <c r="X94" s="2"/>
      <c r="Y94" s="2"/>
      <c r="Z94" s="2"/>
      <c r="AA94" s="2"/>
    </row>
    <row r="95" spans="1:27" ht="13.2" x14ac:dyDescent="0.25">
      <c r="A95" s="2"/>
      <c r="B95" s="7"/>
      <c r="C95" s="2"/>
      <c r="D95" s="2"/>
      <c r="E95" s="2"/>
      <c r="F95" s="2"/>
      <c r="G95" s="2"/>
      <c r="H95" s="2"/>
      <c r="I95" s="2"/>
      <c r="J95" s="2"/>
      <c r="K95" s="2"/>
      <c r="L95" s="2"/>
      <c r="M95" s="2"/>
      <c r="N95" s="2"/>
      <c r="O95" s="2"/>
      <c r="P95" s="2"/>
      <c r="Q95" s="2"/>
      <c r="R95" s="2"/>
      <c r="S95" s="2"/>
      <c r="T95" s="2"/>
      <c r="U95" s="2"/>
      <c r="V95" s="2"/>
      <c r="W95" s="2"/>
      <c r="X95" s="2"/>
      <c r="Y95" s="2"/>
      <c r="Z95" s="2"/>
      <c r="AA95" s="2"/>
    </row>
    <row r="96" spans="1:27" ht="13.2" x14ac:dyDescent="0.25">
      <c r="A96" s="2"/>
      <c r="B96" s="7"/>
      <c r="C96" s="2"/>
      <c r="D96" s="2"/>
      <c r="E96" s="2"/>
      <c r="F96" s="2"/>
      <c r="G96" s="2"/>
      <c r="H96" s="2"/>
      <c r="I96" s="2"/>
      <c r="J96" s="2"/>
      <c r="K96" s="2"/>
      <c r="L96" s="2"/>
      <c r="M96" s="2"/>
      <c r="N96" s="2"/>
      <c r="O96" s="2"/>
      <c r="P96" s="2"/>
      <c r="Q96" s="2"/>
      <c r="R96" s="2"/>
      <c r="S96" s="2"/>
      <c r="T96" s="2"/>
      <c r="U96" s="2"/>
      <c r="V96" s="2"/>
      <c r="W96" s="2"/>
      <c r="X96" s="2"/>
      <c r="Y96" s="2"/>
      <c r="Z96" s="2"/>
      <c r="AA96" s="2"/>
    </row>
    <row r="97" spans="1:27" ht="13.2" x14ac:dyDescent="0.25">
      <c r="A97" s="2"/>
      <c r="B97" s="7"/>
      <c r="C97" s="2"/>
      <c r="D97" s="2"/>
      <c r="E97" s="2"/>
      <c r="F97" s="2"/>
      <c r="G97" s="2"/>
      <c r="H97" s="2"/>
      <c r="I97" s="2"/>
      <c r="J97" s="2"/>
      <c r="K97" s="2"/>
      <c r="L97" s="2"/>
      <c r="M97" s="2"/>
      <c r="N97" s="2"/>
      <c r="O97" s="2"/>
      <c r="P97" s="2"/>
      <c r="Q97" s="2"/>
      <c r="R97" s="2"/>
      <c r="S97" s="2"/>
      <c r="T97" s="2"/>
      <c r="U97" s="2"/>
      <c r="V97" s="2"/>
      <c r="W97" s="2"/>
      <c r="X97" s="2"/>
      <c r="Y97" s="2"/>
      <c r="Z97" s="2"/>
      <c r="AA97" s="2"/>
    </row>
    <row r="98" spans="1:27" ht="13.2" x14ac:dyDescent="0.25">
      <c r="A98" s="2"/>
      <c r="B98" s="7"/>
      <c r="C98" s="2"/>
      <c r="D98" s="2"/>
      <c r="E98" s="2"/>
      <c r="F98" s="2"/>
      <c r="G98" s="2"/>
      <c r="H98" s="2"/>
      <c r="I98" s="2"/>
      <c r="J98" s="2"/>
      <c r="K98" s="2"/>
      <c r="L98" s="2"/>
      <c r="M98" s="2"/>
      <c r="N98" s="2"/>
      <c r="O98" s="2"/>
      <c r="P98" s="2"/>
      <c r="Q98" s="2"/>
      <c r="R98" s="2"/>
      <c r="S98" s="2"/>
      <c r="T98" s="2"/>
      <c r="U98" s="2"/>
      <c r="V98" s="2"/>
      <c r="W98" s="2"/>
      <c r="X98" s="2"/>
      <c r="Y98" s="2"/>
      <c r="Z98" s="2"/>
      <c r="AA98" s="2"/>
    </row>
    <row r="99" spans="1:27" ht="13.2" x14ac:dyDescent="0.25">
      <c r="A99" s="2"/>
      <c r="B99" s="7"/>
      <c r="C99" s="2"/>
      <c r="D99" s="2"/>
      <c r="E99" s="2"/>
      <c r="F99" s="2"/>
      <c r="G99" s="2"/>
      <c r="H99" s="2"/>
      <c r="I99" s="2"/>
      <c r="J99" s="2"/>
      <c r="K99" s="2"/>
      <c r="L99" s="2"/>
      <c r="M99" s="2"/>
      <c r="N99" s="2"/>
      <c r="O99" s="2"/>
      <c r="P99" s="2"/>
      <c r="Q99" s="2"/>
      <c r="R99" s="2"/>
      <c r="S99" s="2"/>
      <c r="T99" s="2"/>
      <c r="U99" s="2"/>
      <c r="V99" s="2"/>
      <c r="W99" s="2"/>
      <c r="X99" s="2"/>
      <c r="Y99" s="2"/>
      <c r="Z99" s="2"/>
      <c r="AA99" s="2"/>
    </row>
    <row r="100" spans="1:27" ht="13.2" x14ac:dyDescent="0.25">
      <c r="A100" s="2"/>
      <c r="B100" s="7"/>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3.2" x14ac:dyDescent="0.25">
      <c r="A101" s="2"/>
      <c r="B101" s="7"/>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3.2" x14ac:dyDescent="0.25">
      <c r="A102" s="2"/>
      <c r="B102" s="7"/>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3.2" x14ac:dyDescent="0.25">
      <c r="A103" s="2"/>
      <c r="B103" s="7"/>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3.2" x14ac:dyDescent="0.25">
      <c r="A104" s="2"/>
      <c r="B104" s="7"/>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3.2" x14ac:dyDescent="0.25">
      <c r="A105" s="2"/>
      <c r="B105" s="7"/>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3.2" x14ac:dyDescent="0.25">
      <c r="A106" s="2"/>
      <c r="B106" s="7"/>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3.2" x14ac:dyDescent="0.25">
      <c r="A107" s="2"/>
      <c r="B107" s="7"/>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3.2" x14ac:dyDescent="0.25">
      <c r="A108" s="2"/>
      <c r="B108" s="7"/>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3.2" x14ac:dyDescent="0.25">
      <c r="A109" s="2"/>
      <c r="B109" s="7"/>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3.2" x14ac:dyDescent="0.25">
      <c r="A110" s="2"/>
      <c r="B110" s="7"/>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3.2" x14ac:dyDescent="0.25">
      <c r="A111" s="2"/>
      <c r="B111" s="7"/>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3.2" x14ac:dyDescent="0.25">
      <c r="A112" s="2"/>
      <c r="B112" s="7"/>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3.2" x14ac:dyDescent="0.25">
      <c r="A113" s="2"/>
      <c r="B113" s="7"/>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3.2" x14ac:dyDescent="0.25">
      <c r="A114" s="2"/>
      <c r="B114" s="7"/>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3.2" x14ac:dyDescent="0.25">
      <c r="A115" s="2"/>
      <c r="B115" s="7"/>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3.2" x14ac:dyDescent="0.25">
      <c r="A116" s="2"/>
      <c r="B116" s="7"/>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3.2" x14ac:dyDescent="0.25">
      <c r="A117" s="2"/>
      <c r="B117" s="7"/>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3.2" x14ac:dyDescent="0.25">
      <c r="A118" s="2"/>
      <c r="B118" s="7"/>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3.2" x14ac:dyDescent="0.25">
      <c r="A119" s="2"/>
      <c r="B119" s="7"/>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3.2" x14ac:dyDescent="0.25">
      <c r="A120" s="2"/>
      <c r="B120" s="7"/>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3.2" x14ac:dyDescent="0.25">
      <c r="A121" s="2"/>
      <c r="B121" s="7"/>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3.2" x14ac:dyDescent="0.25">
      <c r="A122" s="2"/>
      <c r="B122" s="7"/>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3.2" x14ac:dyDescent="0.25">
      <c r="A123" s="2"/>
      <c r="B123" s="7"/>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3.2" x14ac:dyDescent="0.25">
      <c r="A124" s="2"/>
      <c r="B124" s="7"/>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3.2" x14ac:dyDescent="0.25">
      <c r="A125" s="2"/>
      <c r="B125" s="7"/>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3.2" x14ac:dyDescent="0.25">
      <c r="A126" s="2"/>
      <c r="B126" s="7"/>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3.2" x14ac:dyDescent="0.25">
      <c r="A127" s="2"/>
      <c r="B127" s="7"/>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3.2" x14ac:dyDescent="0.25">
      <c r="A128" s="2"/>
      <c r="B128" s="7"/>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3.2" x14ac:dyDescent="0.25">
      <c r="A129" s="2"/>
      <c r="B129" s="7"/>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3.2" x14ac:dyDescent="0.25">
      <c r="A130" s="2"/>
      <c r="B130" s="7"/>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3.2" x14ac:dyDescent="0.25">
      <c r="A131" s="2"/>
      <c r="B131" s="7"/>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3.2" x14ac:dyDescent="0.25">
      <c r="A132" s="2"/>
      <c r="B132" s="7"/>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3.2" x14ac:dyDescent="0.25">
      <c r="A133" s="2"/>
      <c r="B133" s="7"/>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3.2" x14ac:dyDescent="0.25">
      <c r="A134" s="2"/>
      <c r="B134" s="7"/>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3.2" x14ac:dyDescent="0.25">
      <c r="A135" s="2"/>
      <c r="B135" s="7"/>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3.2" x14ac:dyDescent="0.25">
      <c r="A136" s="2"/>
      <c r="B136" s="7"/>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3.2" x14ac:dyDescent="0.25">
      <c r="A137" s="2"/>
      <c r="B137" s="7"/>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3.2" x14ac:dyDescent="0.25">
      <c r="A138" s="2"/>
      <c r="B138" s="7"/>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3.2" x14ac:dyDescent="0.25">
      <c r="A139" s="2"/>
      <c r="B139" s="7"/>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3.2" x14ac:dyDescent="0.25">
      <c r="A140" s="2"/>
      <c r="B140" s="7"/>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3.2" x14ac:dyDescent="0.25">
      <c r="A141" s="2"/>
      <c r="B141" s="7"/>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3.2" x14ac:dyDescent="0.25">
      <c r="A142" s="2"/>
      <c r="B142" s="7"/>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3.2" x14ac:dyDescent="0.25">
      <c r="A143" s="2"/>
      <c r="B143" s="7"/>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3.2" x14ac:dyDescent="0.25">
      <c r="A144" s="2"/>
      <c r="B144" s="7"/>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3.2" x14ac:dyDescent="0.25">
      <c r="A145" s="2"/>
      <c r="B145" s="7"/>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3.2" x14ac:dyDescent="0.25">
      <c r="A146" s="2"/>
      <c r="B146" s="7"/>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3.2" x14ac:dyDescent="0.25">
      <c r="A147" s="2"/>
      <c r="B147" s="7"/>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3.2" x14ac:dyDescent="0.25">
      <c r="A148" s="2"/>
      <c r="B148" s="7"/>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3.2" x14ac:dyDescent="0.25">
      <c r="A149" s="2"/>
      <c r="B149" s="7"/>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3.2" x14ac:dyDescent="0.25">
      <c r="A150" s="2"/>
      <c r="B150" s="7"/>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3.2" x14ac:dyDescent="0.25">
      <c r="A151" s="2"/>
      <c r="B151" s="7"/>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3.2" x14ac:dyDescent="0.25">
      <c r="A152" s="2"/>
      <c r="B152" s="7"/>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3.2" x14ac:dyDescent="0.25">
      <c r="A153" s="2"/>
      <c r="B153" s="7"/>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3.2" x14ac:dyDescent="0.25">
      <c r="A154" s="2"/>
      <c r="B154" s="7"/>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3.2" x14ac:dyDescent="0.25">
      <c r="A155" s="2"/>
      <c r="B155" s="7"/>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3.2" x14ac:dyDescent="0.25">
      <c r="A156" s="2"/>
      <c r="B156" s="7"/>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3.2" x14ac:dyDescent="0.25">
      <c r="A157" s="2"/>
      <c r="B157" s="7"/>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3.2" x14ac:dyDescent="0.25">
      <c r="A158" s="2"/>
      <c r="B158" s="7"/>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3.2" x14ac:dyDescent="0.25">
      <c r="A159" s="2"/>
      <c r="B159" s="7"/>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3.2" x14ac:dyDescent="0.25">
      <c r="A160" s="2"/>
      <c r="B160" s="7"/>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3.2" x14ac:dyDescent="0.25">
      <c r="A161" s="2"/>
      <c r="B161" s="7"/>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3.2" x14ac:dyDescent="0.25">
      <c r="A162" s="2"/>
      <c r="B162" s="7"/>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3.2" x14ac:dyDescent="0.25">
      <c r="A163" s="2"/>
      <c r="B163" s="7"/>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3.2" x14ac:dyDescent="0.25">
      <c r="A164" s="2"/>
      <c r="B164" s="7"/>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3.2" x14ac:dyDescent="0.25">
      <c r="A165" s="2"/>
      <c r="B165" s="7"/>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3.2" x14ac:dyDescent="0.25">
      <c r="A166" s="2"/>
      <c r="B166" s="7"/>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3.2" x14ac:dyDescent="0.25">
      <c r="A167" s="2"/>
      <c r="B167" s="7"/>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3.2" x14ac:dyDescent="0.25">
      <c r="A168" s="2"/>
      <c r="B168" s="7"/>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3.2" x14ac:dyDescent="0.25">
      <c r="A169" s="2"/>
      <c r="B169" s="7"/>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3.2" x14ac:dyDescent="0.25">
      <c r="A170" s="2"/>
      <c r="B170" s="7"/>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3.2" x14ac:dyDescent="0.25">
      <c r="A171" s="2"/>
      <c r="B171" s="7"/>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3.2" x14ac:dyDescent="0.25">
      <c r="A172" s="2"/>
      <c r="B172" s="7"/>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3.2" x14ac:dyDescent="0.25">
      <c r="A173" s="2"/>
      <c r="B173" s="7"/>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3.2" x14ac:dyDescent="0.25">
      <c r="A174" s="2"/>
      <c r="B174" s="7"/>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3.2" x14ac:dyDescent="0.25">
      <c r="A175" s="2"/>
      <c r="B175" s="7"/>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3.2" x14ac:dyDescent="0.25">
      <c r="A176" s="2"/>
      <c r="B176" s="7"/>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3.2" x14ac:dyDescent="0.25">
      <c r="A177" s="2"/>
      <c r="B177" s="7"/>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3.2" x14ac:dyDescent="0.25">
      <c r="A178" s="2"/>
      <c r="B178" s="7"/>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3.2" x14ac:dyDescent="0.25">
      <c r="A179" s="2"/>
      <c r="B179" s="7"/>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3.2" x14ac:dyDescent="0.25">
      <c r="A180" s="2"/>
      <c r="B180" s="7"/>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3.2" x14ac:dyDescent="0.25">
      <c r="A181" s="2"/>
      <c r="B181" s="7"/>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3.2" x14ac:dyDescent="0.25">
      <c r="A182" s="2"/>
      <c r="B182" s="7"/>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3.2" x14ac:dyDescent="0.25">
      <c r="A183" s="2"/>
      <c r="B183" s="7"/>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3.2" x14ac:dyDescent="0.25">
      <c r="A184" s="2"/>
      <c r="B184" s="7"/>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3.2" x14ac:dyDescent="0.25">
      <c r="A185" s="2"/>
      <c r="B185" s="7"/>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3.2" x14ac:dyDescent="0.25">
      <c r="A186" s="2"/>
      <c r="B186" s="7"/>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3.2" x14ac:dyDescent="0.25">
      <c r="A187" s="2"/>
      <c r="B187" s="7"/>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3.2" x14ac:dyDescent="0.25">
      <c r="A188" s="2"/>
      <c r="B188" s="7"/>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3.2" x14ac:dyDescent="0.25">
      <c r="A189" s="2"/>
      <c r="B189" s="7"/>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3.2" x14ac:dyDescent="0.25">
      <c r="A190" s="2"/>
      <c r="B190" s="7"/>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3.2" x14ac:dyDescent="0.25">
      <c r="A191" s="2"/>
      <c r="B191" s="7"/>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3.2" x14ac:dyDescent="0.25">
      <c r="A192" s="2"/>
      <c r="B192" s="7"/>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3.2" x14ac:dyDescent="0.25">
      <c r="A193" s="2"/>
      <c r="B193" s="7"/>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3.2" x14ac:dyDescent="0.25">
      <c r="A194" s="2"/>
      <c r="B194" s="7"/>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3.2" x14ac:dyDescent="0.25">
      <c r="A195" s="2"/>
      <c r="B195" s="7"/>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3.2" x14ac:dyDescent="0.25">
      <c r="A196" s="2"/>
      <c r="B196" s="7"/>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3.2" x14ac:dyDescent="0.25">
      <c r="A197" s="2"/>
      <c r="B197" s="7"/>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3.2" x14ac:dyDescent="0.25">
      <c r="A198" s="2"/>
      <c r="B198" s="7"/>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3.2" x14ac:dyDescent="0.25">
      <c r="A199" s="2"/>
      <c r="B199" s="7"/>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3.2" x14ac:dyDescent="0.25">
      <c r="A200" s="2"/>
      <c r="B200" s="7"/>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3.2" x14ac:dyDescent="0.25">
      <c r="A201" s="2"/>
      <c r="B201" s="7"/>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3.2" x14ac:dyDescent="0.25">
      <c r="A202" s="2"/>
      <c r="B202" s="7"/>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3.2" x14ac:dyDescent="0.25">
      <c r="A203" s="2"/>
      <c r="B203" s="7"/>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3.2" x14ac:dyDescent="0.25">
      <c r="A204" s="2"/>
      <c r="B204" s="7"/>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3.2" x14ac:dyDescent="0.25">
      <c r="A205" s="2"/>
      <c r="B205" s="7"/>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3.2" x14ac:dyDescent="0.25">
      <c r="A206" s="2"/>
      <c r="B206" s="7"/>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3.2" x14ac:dyDescent="0.25">
      <c r="A207" s="2"/>
      <c r="B207" s="7"/>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3.2" x14ac:dyDescent="0.25">
      <c r="A208" s="2"/>
      <c r="B208" s="7"/>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3.2" x14ac:dyDescent="0.25">
      <c r="A209" s="2"/>
      <c r="B209" s="7"/>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3.2" x14ac:dyDescent="0.25">
      <c r="A210" s="2"/>
      <c r="B210" s="7"/>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3.2" x14ac:dyDescent="0.25">
      <c r="A211" s="2"/>
      <c r="B211" s="7"/>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3.2" x14ac:dyDescent="0.25">
      <c r="A212" s="2"/>
      <c r="B212" s="7"/>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3.2" x14ac:dyDescent="0.25">
      <c r="A213" s="2"/>
      <c r="B213" s="7"/>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3.2" x14ac:dyDescent="0.25">
      <c r="A214" s="2"/>
      <c r="B214" s="7"/>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3.2" x14ac:dyDescent="0.25">
      <c r="A215" s="2"/>
      <c r="B215" s="7"/>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3.2" x14ac:dyDescent="0.25">
      <c r="A216" s="2"/>
      <c r="B216" s="7"/>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3.2" x14ac:dyDescent="0.25">
      <c r="A217" s="2"/>
      <c r="B217" s="7"/>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3.2" x14ac:dyDescent="0.25">
      <c r="A218" s="2"/>
      <c r="B218" s="7"/>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3.2" x14ac:dyDescent="0.25">
      <c r="A219" s="2"/>
      <c r="B219" s="7"/>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3.2" x14ac:dyDescent="0.25">
      <c r="A220" s="2"/>
      <c r="B220" s="7"/>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3.2" x14ac:dyDescent="0.25">
      <c r="A221" s="2"/>
      <c r="B221" s="7"/>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3.2" x14ac:dyDescent="0.25">
      <c r="A222" s="2"/>
      <c r="B222" s="7"/>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3.2" x14ac:dyDescent="0.25">
      <c r="A223" s="2"/>
      <c r="B223" s="7"/>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3.2" x14ac:dyDescent="0.25">
      <c r="A224" s="2"/>
      <c r="B224" s="7"/>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3.2" x14ac:dyDescent="0.25">
      <c r="A225" s="2"/>
      <c r="B225" s="7"/>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3.2" x14ac:dyDescent="0.25">
      <c r="A226" s="2"/>
      <c r="B226" s="7"/>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3.2" x14ac:dyDescent="0.25">
      <c r="A227" s="2"/>
      <c r="B227" s="7"/>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3.2" x14ac:dyDescent="0.25">
      <c r="A228" s="2"/>
      <c r="B228" s="7"/>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3.2" x14ac:dyDescent="0.25">
      <c r="A229" s="2"/>
      <c r="B229" s="7"/>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3.2" x14ac:dyDescent="0.25">
      <c r="A230" s="2"/>
      <c r="B230" s="7"/>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3.2" x14ac:dyDescent="0.25">
      <c r="A231" s="2"/>
      <c r="B231" s="7"/>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3.2" x14ac:dyDescent="0.25">
      <c r="A232" s="2"/>
      <c r="B232" s="7"/>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3.2" x14ac:dyDescent="0.25">
      <c r="A233" s="2"/>
      <c r="B233" s="7"/>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3.2" x14ac:dyDescent="0.25">
      <c r="A234" s="2"/>
      <c r="B234" s="7"/>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3.2" x14ac:dyDescent="0.25">
      <c r="A235" s="2"/>
      <c r="B235" s="7"/>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3.2" x14ac:dyDescent="0.25">
      <c r="A236" s="2"/>
      <c r="B236" s="7"/>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3.2" x14ac:dyDescent="0.25">
      <c r="A237" s="2"/>
      <c r="B237" s="7"/>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3.2" x14ac:dyDescent="0.25">
      <c r="A238" s="2"/>
      <c r="B238" s="7"/>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3.2" x14ac:dyDescent="0.25">
      <c r="A239" s="2"/>
      <c r="B239" s="7"/>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3.2" x14ac:dyDescent="0.25">
      <c r="A240" s="2"/>
      <c r="B240" s="7"/>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3.2" x14ac:dyDescent="0.25">
      <c r="A241" s="2"/>
      <c r="B241" s="7"/>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3.2" x14ac:dyDescent="0.25">
      <c r="A242" s="2"/>
      <c r="B242" s="7"/>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3.2" x14ac:dyDescent="0.25">
      <c r="A243" s="2"/>
      <c r="B243" s="7"/>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3.2" x14ac:dyDescent="0.25">
      <c r="A244" s="2"/>
      <c r="B244" s="7"/>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3.2" x14ac:dyDescent="0.25">
      <c r="A245" s="2"/>
      <c r="B245" s="7"/>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3.2" x14ac:dyDescent="0.25">
      <c r="A246" s="2"/>
      <c r="B246" s="7"/>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3.2" x14ac:dyDescent="0.25">
      <c r="A247" s="2"/>
      <c r="B247" s="7"/>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3.2" x14ac:dyDescent="0.25">
      <c r="A248" s="2"/>
      <c r="B248" s="7"/>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3.2" x14ac:dyDescent="0.25">
      <c r="A249" s="2"/>
      <c r="B249" s="7"/>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3.2" x14ac:dyDescent="0.25">
      <c r="A250" s="2"/>
      <c r="B250" s="7"/>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3.2" x14ac:dyDescent="0.25">
      <c r="A251" s="2"/>
      <c r="B251" s="7"/>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3.2" x14ac:dyDescent="0.25">
      <c r="A252" s="2"/>
      <c r="B252" s="7"/>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3.2" x14ac:dyDescent="0.25">
      <c r="A253" s="2"/>
      <c r="B253" s="7"/>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3.2" x14ac:dyDescent="0.25">
      <c r="A254" s="2"/>
      <c r="B254" s="7"/>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3.2" x14ac:dyDescent="0.25">
      <c r="A255" s="2"/>
      <c r="B255" s="7"/>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3.2" x14ac:dyDescent="0.25">
      <c r="A256" s="2"/>
      <c r="B256" s="7"/>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3.2" x14ac:dyDescent="0.25">
      <c r="A257" s="2"/>
      <c r="B257" s="7"/>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3.2" x14ac:dyDescent="0.25">
      <c r="A258" s="2"/>
      <c r="B258" s="7"/>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3.2" x14ac:dyDescent="0.25">
      <c r="A259" s="2"/>
      <c r="B259" s="7"/>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3.2" x14ac:dyDescent="0.25">
      <c r="A260" s="2"/>
      <c r="B260" s="7"/>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3.2" x14ac:dyDescent="0.25">
      <c r="A261" s="2"/>
      <c r="B261" s="7"/>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3.2" x14ac:dyDescent="0.25">
      <c r="A262" s="2"/>
      <c r="B262" s="7"/>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3.2" x14ac:dyDescent="0.25">
      <c r="A263" s="2"/>
      <c r="B263" s="7"/>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3.2" x14ac:dyDescent="0.25">
      <c r="A264" s="2"/>
      <c r="B264" s="7"/>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3.2" x14ac:dyDescent="0.25">
      <c r="A265" s="2"/>
      <c r="B265" s="7"/>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3.2" x14ac:dyDescent="0.25">
      <c r="A266" s="2"/>
      <c r="B266" s="7"/>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3.2" x14ac:dyDescent="0.25">
      <c r="A267" s="2"/>
      <c r="B267" s="7"/>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3.2" x14ac:dyDescent="0.25">
      <c r="A268" s="2"/>
      <c r="B268" s="7"/>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3.2" x14ac:dyDescent="0.25">
      <c r="A269" s="2"/>
      <c r="B269" s="7"/>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3.2" x14ac:dyDescent="0.25">
      <c r="A270" s="2"/>
      <c r="B270" s="7"/>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3.2" x14ac:dyDescent="0.25">
      <c r="A271" s="2"/>
      <c r="B271" s="7"/>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3.2" x14ac:dyDescent="0.25">
      <c r="A272" s="2"/>
      <c r="B272" s="7"/>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3.2" x14ac:dyDescent="0.25">
      <c r="A273" s="2"/>
      <c r="B273" s="7"/>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3.2" x14ac:dyDescent="0.25">
      <c r="A274" s="2"/>
      <c r="B274" s="7"/>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3.2" x14ac:dyDescent="0.25">
      <c r="A275" s="2"/>
      <c r="B275" s="7"/>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3.2" x14ac:dyDescent="0.25">
      <c r="A276" s="2"/>
      <c r="B276" s="7"/>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3.2" x14ac:dyDescent="0.25">
      <c r="A277" s="2"/>
      <c r="B277" s="7"/>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3.2" x14ac:dyDescent="0.25">
      <c r="A278" s="2"/>
      <c r="B278" s="7"/>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3.2" x14ac:dyDescent="0.25">
      <c r="A279" s="2"/>
      <c r="B279" s="7"/>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3.2" x14ac:dyDescent="0.25">
      <c r="A280" s="2"/>
      <c r="B280" s="7"/>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3.2" x14ac:dyDescent="0.25">
      <c r="A281" s="2"/>
      <c r="B281" s="7"/>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3.2" x14ac:dyDescent="0.25">
      <c r="A282" s="2"/>
      <c r="B282" s="7"/>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3.2" x14ac:dyDescent="0.25">
      <c r="A283" s="2"/>
      <c r="B283" s="7"/>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3.2" x14ac:dyDescent="0.25">
      <c r="A284" s="2"/>
      <c r="B284" s="7"/>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3.2" x14ac:dyDescent="0.25">
      <c r="A285" s="2"/>
      <c r="B285" s="7"/>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3.2" x14ac:dyDescent="0.25">
      <c r="A286" s="2"/>
      <c r="B286" s="7"/>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3.2" x14ac:dyDescent="0.25">
      <c r="A287" s="2"/>
      <c r="B287" s="7"/>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3.2" x14ac:dyDescent="0.25">
      <c r="A288" s="2"/>
      <c r="B288" s="7"/>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3.2" x14ac:dyDescent="0.25">
      <c r="A289" s="2"/>
      <c r="B289" s="7"/>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3.2" x14ac:dyDescent="0.25">
      <c r="A290" s="2"/>
      <c r="B290" s="7"/>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3.2" x14ac:dyDescent="0.25">
      <c r="A291" s="2"/>
      <c r="B291" s="7"/>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3.2" x14ac:dyDescent="0.25">
      <c r="A292" s="2"/>
      <c r="B292" s="7"/>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3.2" x14ac:dyDescent="0.25">
      <c r="A293" s="2"/>
      <c r="B293" s="7"/>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3.2" x14ac:dyDescent="0.25">
      <c r="A294" s="2"/>
      <c r="B294" s="7"/>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3.2" x14ac:dyDescent="0.25">
      <c r="A295" s="2"/>
      <c r="B295" s="7"/>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3.2" x14ac:dyDescent="0.25">
      <c r="A296" s="2"/>
      <c r="B296" s="7"/>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3.2" x14ac:dyDescent="0.25">
      <c r="A297" s="2"/>
      <c r="B297" s="7"/>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3.2" x14ac:dyDescent="0.25">
      <c r="A298" s="2"/>
      <c r="B298" s="7"/>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3.2" x14ac:dyDescent="0.25">
      <c r="A299" s="2"/>
      <c r="B299" s="7"/>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3.2" x14ac:dyDescent="0.25">
      <c r="A300" s="2"/>
      <c r="B300" s="7"/>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3.2" x14ac:dyDescent="0.25">
      <c r="A301" s="2"/>
      <c r="B301" s="7"/>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3.2" x14ac:dyDescent="0.25">
      <c r="A302" s="2"/>
      <c r="B302" s="7"/>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3.2" x14ac:dyDescent="0.25">
      <c r="A303" s="2"/>
      <c r="B303" s="7"/>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3.2" x14ac:dyDescent="0.25">
      <c r="A304" s="2"/>
      <c r="B304" s="7"/>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3.2" x14ac:dyDescent="0.25">
      <c r="A305" s="2"/>
      <c r="B305" s="7"/>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3.2" x14ac:dyDescent="0.25">
      <c r="A306" s="2"/>
      <c r="B306" s="7"/>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3.2" x14ac:dyDescent="0.25">
      <c r="A307" s="2"/>
      <c r="B307" s="7"/>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3.2" x14ac:dyDescent="0.25">
      <c r="A308" s="2"/>
      <c r="B308" s="7"/>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3.2" x14ac:dyDescent="0.25">
      <c r="A309" s="2"/>
      <c r="B309" s="7"/>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3.2" x14ac:dyDescent="0.25">
      <c r="A310" s="2"/>
      <c r="B310" s="7"/>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3.2" x14ac:dyDescent="0.25">
      <c r="A311" s="2"/>
      <c r="B311" s="7"/>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3.2" x14ac:dyDescent="0.25">
      <c r="A312" s="2"/>
      <c r="B312" s="7"/>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3.2" x14ac:dyDescent="0.25">
      <c r="A313" s="2"/>
      <c r="B313" s="7"/>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3.2" x14ac:dyDescent="0.25">
      <c r="A314" s="2"/>
      <c r="B314" s="7"/>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3.2" x14ac:dyDescent="0.25">
      <c r="A315" s="2"/>
      <c r="B315" s="7"/>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3.2" x14ac:dyDescent="0.25">
      <c r="A316" s="2"/>
      <c r="B316" s="7"/>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3.2" x14ac:dyDescent="0.25">
      <c r="A317" s="2"/>
      <c r="B317" s="7"/>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3.2" x14ac:dyDescent="0.25">
      <c r="A318" s="2"/>
      <c r="B318" s="7"/>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3.2" x14ac:dyDescent="0.25">
      <c r="A319" s="2"/>
      <c r="B319" s="7"/>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3.2" x14ac:dyDescent="0.25">
      <c r="A320" s="2"/>
      <c r="B320" s="7"/>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3.2" x14ac:dyDescent="0.25">
      <c r="A321" s="2"/>
      <c r="B321" s="7"/>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3.2" x14ac:dyDescent="0.25">
      <c r="A322" s="2"/>
      <c r="B322" s="7"/>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3.2" x14ac:dyDescent="0.25">
      <c r="A323" s="2"/>
      <c r="B323" s="7"/>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3.2" x14ac:dyDescent="0.25">
      <c r="A324" s="2"/>
      <c r="B324" s="7"/>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3.2" x14ac:dyDescent="0.25">
      <c r="A325" s="2"/>
      <c r="B325" s="7"/>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3.2" x14ac:dyDescent="0.25">
      <c r="A326" s="2"/>
      <c r="B326" s="7"/>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3.2" x14ac:dyDescent="0.25">
      <c r="A327" s="2"/>
      <c r="B327" s="7"/>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3.2" x14ac:dyDescent="0.25">
      <c r="A328" s="2"/>
      <c r="B328" s="7"/>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3.2" x14ac:dyDescent="0.25">
      <c r="A329" s="2"/>
      <c r="B329" s="7"/>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3.2" x14ac:dyDescent="0.25">
      <c r="A330" s="2"/>
      <c r="B330" s="7"/>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3.2" x14ac:dyDescent="0.25">
      <c r="A331" s="2"/>
      <c r="B331" s="7"/>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3.2" x14ac:dyDescent="0.25">
      <c r="A332" s="2"/>
      <c r="B332" s="7"/>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3.2" x14ac:dyDescent="0.25">
      <c r="A333" s="2"/>
      <c r="B333" s="7"/>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3.2" x14ac:dyDescent="0.25">
      <c r="A334" s="2"/>
      <c r="B334" s="7"/>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3.2" x14ac:dyDescent="0.25">
      <c r="A335" s="2"/>
      <c r="B335" s="7"/>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3.2" x14ac:dyDescent="0.25">
      <c r="A336" s="2"/>
      <c r="B336" s="7"/>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3.2" x14ac:dyDescent="0.25">
      <c r="A337" s="2"/>
      <c r="B337" s="7"/>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3.2" x14ac:dyDescent="0.25">
      <c r="A338" s="2"/>
      <c r="B338" s="7"/>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3.2" x14ac:dyDescent="0.25">
      <c r="A339" s="2"/>
      <c r="B339" s="7"/>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3.2" x14ac:dyDescent="0.25">
      <c r="A340" s="2"/>
      <c r="B340" s="7"/>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3.2" x14ac:dyDescent="0.25">
      <c r="A341" s="2"/>
      <c r="B341" s="7"/>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3.2" x14ac:dyDescent="0.25">
      <c r="A342" s="2"/>
      <c r="B342" s="7"/>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3.2" x14ac:dyDescent="0.25">
      <c r="A343" s="2"/>
      <c r="B343" s="7"/>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3.2" x14ac:dyDescent="0.25">
      <c r="A344" s="2"/>
      <c r="B344" s="7"/>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3.2" x14ac:dyDescent="0.25">
      <c r="A345" s="2"/>
      <c r="B345" s="7"/>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3.2" x14ac:dyDescent="0.25">
      <c r="A346" s="2"/>
      <c r="B346" s="7"/>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3.2" x14ac:dyDescent="0.25">
      <c r="A347" s="2"/>
      <c r="B347" s="7"/>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3.2" x14ac:dyDescent="0.25">
      <c r="A348" s="2"/>
      <c r="B348" s="7"/>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3.2" x14ac:dyDescent="0.25">
      <c r="A349" s="2"/>
      <c r="B349" s="7"/>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3.2" x14ac:dyDescent="0.25">
      <c r="A350" s="2"/>
      <c r="B350" s="7"/>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3.2" x14ac:dyDescent="0.25">
      <c r="A351" s="2"/>
      <c r="B351" s="7"/>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3.2" x14ac:dyDescent="0.25">
      <c r="A352" s="2"/>
      <c r="B352" s="7"/>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3.2" x14ac:dyDescent="0.25">
      <c r="A353" s="2"/>
      <c r="B353" s="7"/>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3.2" x14ac:dyDescent="0.25">
      <c r="A354" s="2"/>
      <c r="B354" s="7"/>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3.2" x14ac:dyDescent="0.25">
      <c r="A355" s="2"/>
      <c r="B355" s="7"/>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3.2" x14ac:dyDescent="0.25">
      <c r="A356" s="2"/>
      <c r="B356" s="7"/>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3.2" x14ac:dyDescent="0.25">
      <c r="A357" s="2"/>
      <c r="B357" s="7"/>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3.2" x14ac:dyDescent="0.25">
      <c r="A358" s="2"/>
      <c r="B358" s="7"/>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3.2" x14ac:dyDescent="0.25">
      <c r="A359" s="2"/>
      <c r="B359" s="7"/>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3.2" x14ac:dyDescent="0.25">
      <c r="A360" s="2"/>
      <c r="B360" s="7"/>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3.2" x14ac:dyDescent="0.25">
      <c r="A361" s="2"/>
      <c r="B361" s="7"/>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3.2" x14ac:dyDescent="0.25">
      <c r="A362" s="2"/>
      <c r="B362" s="7"/>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3.2" x14ac:dyDescent="0.25">
      <c r="A363" s="2"/>
      <c r="B363" s="7"/>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3.2" x14ac:dyDescent="0.25">
      <c r="A364" s="2"/>
      <c r="B364" s="7"/>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3.2" x14ac:dyDescent="0.25">
      <c r="A365" s="2"/>
      <c r="B365" s="7"/>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3.2" x14ac:dyDescent="0.25">
      <c r="A366" s="2"/>
      <c r="B366" s="7"/>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3.2" x14ac:dyDescent="0.25">
      <c r="A367" s="2"/>
      <c r="B367" s="7"/>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3.2" x14ac:dyDescent="0.25">
      <c r="A368" s="2"/>
      <c r="B368" s="7"/>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3.2" x14ac:dyDescent="0.25">
      <c r="A369" s="2"/>
      <c r="B369" s="7"/>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3.2" x14ac:dyDescent="0.25">
      <c r="A370" s="2"/>
      <c r="B370" s="7"/>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3.2" x14ac:dyDescent="0.25">
      <c r="A371" s="2"/>
      <c r="B371" s="7"/>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3.2" x14ac:dyDescent="0.25">
      <c r="A372" s="2"/>
      <c r="B372" s="7"/>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3.2" x14ac:dyDescent="0.25">
      <c r="A373" s="2"/>
      <c r="B373" s="7"/>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3.2" x14ac:dyDescent="0.25">
      <c r="A374" s="2"/>
      <c r="B374" s="7"/>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3.2" x14ac:dyDescent="0.25">
      <c r="A375" s="2"/>
      <c r="B375" s="7"/>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3.2" x14ac:dyDescent="0.25">
      <c r="A376" s="2"/>
      <c r="B376" s="7"/>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3.2" x14ac:dyDescent="0.25">
      <c r="A377" s="2"/>
      <c r="B377" s="7"/>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3.2" x14ac:dyDescent="0.25">
      <c r="A378" s="2"/>
      <c r="B378" s="7"/>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3.2" x14ac:dyDescent="0.25">
      <c r="A379" s="2"/>
      <c r="B379" s="7"/>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3.2" x14ac:dyDescent="0.25">
      <c r="A380" s="2"/>
      <c r="B380" s="7"/>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3.2" x14ac:dyDescent="0.25">
      <c r="A381" s="2"/>
      <c r="B381" s="7"/>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3.2" x14ac:dyDescent="0.25">
      <c r="A382" s="2"/>
      <c r="B382" s="7"/>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3.2" x14ac:dyDescent="0.25">
      <c r="A383" s="2"/>
      <c r="B383" s="7"/>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3.2" x14ac:dyDescent="0.25">
      <c r="A384" s="2"/>
      <c r="B384" s="7"/>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3.2" x14ac:dyDescent="0.25">
      <c r="A385" s="2"/>
      <c r="B385" s="7"/>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3.2" x14ac:dyDescent="0.25">
      <c r="A386" s="2"/>
      <c r="B386" s="7"/>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3.2" x14ac:dyDescent="0.25">
      <c r="A387" s="2"/>
      <c r="B387" s="7"/>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3.2" x14ac:dyDescent="0.25">
      <c r="A388" s="2"/>
      <c r="B388" s="7"/>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3.2" x14ac:dyDescent="0.25">
      <c r="A389" s="2"/>
      <c r="B389" s="7"/>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3.2" x14ac:dyDescent="0.25">
      <c r="A390" s="2"/>
      <c r="B390" s="7"/>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3.2" x14ac:dyDescent="0.25">
      <c r="A391" s="2"/>
      <c r="B391" s="7"/>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3.2" x14ac:dyDescent="0.25">
      <c r="A392" s="2"/>
      <c r="B392" s="7"/>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3.2" x14ac:dyDescent="0.25">
      <c r="A393" s="2"/>
      <c r="B393" s="7"/>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3.2" x14ac:dyDescent="0.25">
      <c r="A394" s="2"/>
      <c r="B394" s="7"/>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3.2" x14ac:dyDescent="0.25">
      <c r="A395" s="2"/>
      <c r="B395" s="7"/>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3.2" x14ac:dyDescent="0.25">
      <c r="A396" s="2"/>
      <c r="B396" s="7"/>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3.2" x14ac:dyDescent="0.25">
      <c r="A397" s="2"/>
      <c r="B397" s="7"/>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3.2" x14ac:dyDescent="0.25">
      <c r="A398" s="2"/>
      <c r="B398" s="7"/>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3.2" x14ac:dyDescent="0.25">
      <c r="A399" s="2"/>
      <c r="B399" s="7"/>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3.2" x14ac:dyDescent="0.25">
      <c r="A400" s="2"/>
      <c r="B400" s="7"/>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3.2" x14ac:dyDescent="0.25">
      <c r="A401" s="2"/>
      <c r="B401" s="7"/>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3.2" x14ac:dyDescent="0.25">
      <c r="A402" s="2"/>
      <c r="B402" s="7"/>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3.2" x14ac:dyDescent="0.25">
      <c r="A403" s="2"/>
      <c r="B403" s="7"/>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3.2" x14ac:dyDescent="0.25">
      <c r="A404" s="2"/>
      <c r="B404" s="7"/>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3.2" x14ac:dyDescent="0.25">
      <c r="A405" s="2"/>
      <c r="B405" s="7"/>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3.2" x14ac:dyDescent="0.25">
      <c r="A406" s="2"/>
      <c r="B406" s="7"/>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3.2" x14ac:dyDescent="0.25">
      <c r="A407" s="2"/>
      <c r="B407" s="7"/>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3.2" x14ac:dyDescent="0.25">
      <c r="A408" s="2"/>
      <c r="B408" s="7"/>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3.2" x14ac:dyDescent="0.25">
      <c r="A409" s="2"/>
      <c r="B409" s="7"/>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3.2" x14ac:dyDescent="0.25">
      <c r="A410" s="2"/>
      <c r="B410" s="7"/>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3.2" x14ac:dyDescent="0.25">
      <c r="A411" s="2"/>
      <c r="B411" s="7"/>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3.2" x14ac:dyDescent="0.25">
      <c r="A412" s="2"/>
      <c r="B412" s="7"/>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3.2" x14ac:dyDescent="0.25">
      <c r="A413" s="2"/>
      <c r="B413" s="7"/>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3.2" x14ac:dyDescent="0.25">
      <c r="A414" s="2"/>
      <c r="B414" s="7"/>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3.2" x14ac:dyDescent="0.25">
      <c r="A415" s="2"/>
      <c r="B415" s="7"/>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3.2" x14ac:dyDescent="0.25">
      <c r="A416" s="2"/>
      <c r="B416" s="7"/>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3.2" x14ac:dyDescent="0.25">
      <c r="A417" s="2"/>
      <c r="B417" s="7"/>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3.2" x14ac:dyDescent="0.25">
      <c r="A418" s="2"/>
      <c r="B418" s="7"/>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3.2" x14ac:dyDescent="0.25">
      <c r="A419" s="2"/>
      <c r="B419" s="7"/>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3.2" x14ac:dyDescent="0.25">
      <c r="A420" s="2"/>
      <c r="B420" s="7"/>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3.2" x14ac:dyDescent="0.25">
      <c r="A421" s="2"/>
      <c r="B421" s="7"/>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3.2" x14ac:dyDescent="0.25">
      <c r="A422" s="2"/>
      <c r="B422" s="7"/>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3.2" x14ac:dyDescent="0.25">
      <c r="A423" s="2"/>
      <c r="B423" s="7"/>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3.2" x14ac:dyDescent="0.25">
      <c r="A424" s="2"/>
      <c r="B424" s="7"/>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3.2" x14ac:dyDescent="0.25">
      <c r="A425" s="2"/>
      <c r="B425" s="7"/>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3.2" x14ac:dyDescent="0.25">
      <c r="A426" s="2"/>
      <c r="B426" s="7"/>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3.2" x14ac:dyDescent="0.25">
      <c r="A427" s="2"/>
      <c r="B427" s="7"/>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3.2" x14ac:dyDescent="0.25">
      <c r="A428" s="2"/>
      <c r="B428" s="7"/>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3.2" x14ac:dyDescent="0.25">
      <c r="A429" s="2"/>
      <c r="B429" s="7"/>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3.2" x14ac:dyDescent="0.25">
      <c r="A430" s="2"/>
      <c r="B430" s="7"/>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3.2" x14ac:dyDescent="0.25">
      <c r="A431" s="2"/>
      <c r="B431" s="7"/>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3.2" x14ac:dyDescent="0.25">
      <c r="A432" s="2"/>
      <c r="B432" s="7"/>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3.2" x14ac:dyDescent="0.25">
      <c r="A433" s="2"/>
      <c r="B433" s="7"/>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3.2" x14ac:dyDescent="0.25">
      <c r="A434" s="2"/>
      <c r="B434" s="7"/>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3.2" x14ac:dyDescent="0.25">
      <c r="A435" s="2"/>
      <c r="B435" s="7"/>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3.2" x14ac:dyDescent="0.25">
      <c r="A436" s="2"/>
      <c r="B436" s="7"/>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3.2" x14ac:dyDescent="0.25">
      <c r="A437" s="2"/>
      <c r="B437" s="7"/>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3.2" x14ac:dyDescent="0.25">
      <c r="A438" s="2"/>
      <c r="B438" s="7"/>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3.2" x14ac:dyDescent="0.25">
      <c r="A439" s="2"/>
      <c r="B439" s="7"/>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3.2" x14ac:dyDescent="0.25">
      <c r="A440" s="2"/>
      <c r="B440" s="7"/>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3.2" x14ac:dyDescent="0.25">
      <c r="A441" s="2"/>
      <c r="B441" s="7"/>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3.2" x14ac:dyDescent="0.25">
      <c r="A442" s="2"/>
      <c r="B442" s="7"/>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3.2" x14ac:dyDescent="0.25">
      <c r="A443" s="2"/>
      <c r="B443" s="7"/>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3.2" x14ac:dyDescent="0.25">
      <c r="A444" s="2"/>
      <c r="B444" s="7"/>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3.2" x14ac:dyDescent="0.25">
      <c r="A445" s="2"/>
      <c r="B445" s="7"/>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3.2" x14ac:dyDescent="0.25">
      <c r="A446" s="2"/>
      <c r="B446" s="7"/>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3.2" x14ac:dyDescent="0.25">
      <c r="A447" s="2"/>
      <c r="B447" s="7"/>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3.2" x14ac:dyDescent="0.25">
      <c r="A448" s="2"/>
      <c r="B448" s="7"/>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3.2" x14ac:dyDescent="0.25">
      <c r="A449" s="2"/>
      <c r="B449" s="7"/>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3.2" x14ac:dyDescent="0.25">
      <c r="A450" s="2"/>
      <c r="B450" s="7"/>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3.2" x14ac:dyDescent="0.25">
      <c r="A451" s="2"/>
      <c r="B451" s="7"/>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3.2" x14ac:dyDescent="0.25">
      <c r="A452" s="2"/>
      <c r="B452" s="7"/>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3.2" x14ac:dyDescent="0.25">
      <c r="A453" s="2"/>
      <c r="B453" s="7"/>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3.2" x14ac:dyDescent="0.25">
      <c r="A454" s="2"/>
      <c r="B454" s="7"/>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3.2" x14ac:dyDescent="0.25">
      <c r="A455" s="2"/>
      <c r="B455" s="7"/>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3.2" x14ac:dyDescent="0.25">
      <c r="A456" s="2"/>
      <c r="B456" s="7"/>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3.2" x14ac:dyDescent="0.25">
      <c r="A457" s="2"/>
      <c r="B457" s="7"/>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3.2" x14ac:dyDescent="0.25">
      <c r="A458" s="2"/>
      <c r="B458" s="7"/>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3.2" x14ac:dyDescent="0.25">
      <c r="A459" s="2"/>
      <c r="B459" s="7"/>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3.2" x14ac:dyDescent="0.25">
      <c r="A460" s="2"/>
      <c r="B460" s="7"/>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3.2" x14ac:dyDescent="0.25">
      <c r="A461" s="2"/>
      <c r="B461" s="7"/>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3.2" x14ac:dyDescent="0.25">
      <c r="A462" s="2"/>
      <c r="B462" s="7"/>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3.2" x14ac:dyDescent="0.25">
      <c r="A463" s="2"/>
      <c r="B463" s="7"/>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3.2" x14ac:dyDescent="0.25">
      <c r="A464" s="2"/>
      <c r="B464" s="7"/>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3.2" x14ac:dyDescent="0.25">
      <c r="A465" s="2"/>
      <c r="B465" s="7"/>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3.2" x14ac:dyDescent="0.25">
      <c r="A466" s="2"/>
      <c r="B466" s="7"/>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3.2" x14ac:dyDescent="0.25">
      <c r="A467" s="2"/>
      <c r="B467" s="7"/>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3.2" x14ac:dyDescent="0.25">
      <c r="A468" s="2"/>
      <c r="B468" s="7"/>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3.2" x14ac:dyDescent="0.25">
      <c r="A469" s="2"/>
      <c r="B469" s="7"/>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3.2" x14ac:dyDescent="0.25">
      <c r="A470" s="2"/>
      <c r="B470" s="7"/>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3.2" x14ac:dyDescent="0.25">
      <c r="A471" s="2"/>
      <c r="B471" s="7"/>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3.2" x14ac:dyDescent="0.25">
      <c r="A472" s="2"/>
      <c r="B472" s="7"/>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3.2" x14ac:dyDescent="0.25">
      <c r="A473" s="2"/>
      <c r="B473" s="7"/>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3.2" x14ac:dyDescent="0.25">
      <c r="A474" s="2"/>
      <c r="B474" s="7"/>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3.2" x14ac:dyDescent="0.25">
      <c r="A475" s="2"/>
      <c r="B475" s="7"/>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3.2" x14ac:dyDescent="0.25">
      <c r="A476" s="2"/>
      <c r="B476" s="7"/>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3.2" x14ac:dyDescent="0.25">
      <c r="A477" s="2"/>
      <c r="B477" s="7"/>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3.2" x14ac:dyDescent="0.25">
      <c r="A478" s="2"/>
      <c r="B478" s="7"/>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3.2" x14ac:dyDescent="0.25">
      <c r="A479" s="2"/>
      <c r="B479" s="7"/>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3.2" x14ac:dyDescent="0.25">
      <c r="A480" s="2"/>
      <c r="B480" s="7"/>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3.2" x14ac:dyDescent="0.25">
      <c r="A481" s="2"/>
      <c r="B481" s="7"/>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3.2" x14ac:dyDescent="0.25">
      <c r="A482" s="2"/>
      <c r="B482" s="7"/>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3.2" x14ac:dyDescent="0.25">
      <c r="A483" s="2"/>
      <c r="B483" s="7"/>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3.2" x14ac:dyDescent="0.25">
      <c r="A484" s="2"/>
      <c r="B484" s="7"/>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2" x14ac:dyDescent="0.25">
      <c r="A485" s="2"/>
      <c r="B485" s="7"/>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3.2" x14ac:dyDescent="0.25">
      <c r="A486" s="2"/>
      <c r="B486" s="7"/>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3.2" x14ac:dyDescent="0.25">
      <c r="A487" s="2"/>
      <c r="B487" s="7"/>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3.2" x14ac:dyDescent="0.25">
      <c r="A488" s="2"/>
      <c r="B488" s="7"/>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3.2" x14ac:dyDescent="0.25">
      <c r="A489" s="2"/>
      <c r="B489" s="7"/>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3.2" x14ac:dyDescent="0.25">
      <c r="A490" s="2"/>
      <c r="B490" s="7"/>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3.2" x14ac:dyDescent="0.25">
      <c r="A491" s="2"/>
      <c r="B491" s="7"/>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3.2" x14ac:dyDescent="0.25">
      <c r="A492" s="2"/>
      <c r="B492" s="7"/>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3.2" x14ac:dyDescent="0.25">
      <c r="A493" s="2"/>
      <c r="B493" s="7"/>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3.2" x14ac:dyDescent="0.25">
      <c r="A494" s="2"/>
      <c r="B494" s="7"/>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3.2" x14ac:dyDescent="0.25">
      <c r="A495" s="2"/>
      <c r="B495" s="7"/>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3.2" x14ac:dyDescent="0.25">
      <c r="A496" s="2"/>
      <c r="B496" s="7"/>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3.2" x14ac:dyDescent="0.25">
      <c r="A497" s="2"/>
      <c r="B497" s="7"/>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3.2" x14ac:dyDescent="0.25">
      <c r="A498" s="2"/>
      <c r="B498" s="7"/>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3.2" x14ac:dyDescent="0.25">
      <c r="A499" s="2"/>
      <c r="B499" s="7"/>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3.2" x14ac:dyDescent="0.25">
      <c r="A500" s="2"/>
      <c r="B500" s="7"/>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3.2" x14ac:dyDescent="0.25">
      <c r="A501" s="2"/>
      <c r="B501" s="7"/>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3.2" x14ac:dyDescent="0.25">
      <c r="A502" s="2"/>
      <c r="B502" s="7"/>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3.2" x14ac:dyDescent="0.25">
      <c r="A503" s="2"/>
      <c r="B503" s="7"/>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3.2" x14ac:dyDescent="0.25">
      <c r="A504" s="2"/>
      <c r="B504" s="7"/>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3.2" x14ac:dyDescent="0.25">
      <c r="A505" s="2"/>
      <c r="B505" s="7"/>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3.2" x14ac:dyDescent="0.25">
      <c r="A506" s="2"/>
      <c r="B506" s="7"/>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3.2" x14ac:dyDescent="0.25">
      <c r="A507" s="2"/>
      <c r="B507" s="7"/>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3.2" x14ac:dyDescent="0.25">
      <c r="A508" s="2"/>
      <c r="B508" s="7"/>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3.2" x14ac:dyDescent="0.25">
      <c r="A509" s="2"/>
      <c r="B509" s="7"/>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3.2" x14ac:dyDescent="0.25">
      <c r="A510" s="2"/>
      <c r="B510" s="7"/>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3.2" x14ac:dyDescent="0.25">
      <c r="A511" s="2"/>
      <c r="B511" s="7"/>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3.2" x14ac:dyDescent="0.25">
      <c r="A512" s="2"/>
      <c r="B512" s="7"/>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3.2" x14ac:dyDescent="0.25">
      <c r="A513" s="2"/>
      <c r="B513" s="7"/>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3.2" x14ac:dyDescent="0.25">
      <c r="A514" s="2"/>
      <c r="B514" s="7"/>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3.2" x14ac:dyDescent="0.25">
      <c r="A515" s="2"/>
      <c r="B515" s="7"/>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3.2" x14ac:dyDescent="0.25">
      <c r="A516" s="2"/>
      <c r="B516" s="7"/>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3.2" x14ac:dyDescent="0.25">
      <c r="A517" s="2"/>
      <c r="B517" s="7"/>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3.2" x14ac:dyDescent="0.25">
      <c r="A518" s="2"/>
      <c r="B518" s="7"/>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3.2" x14ac:dyDescent="0.25">
      <c r="A519" s="2"/>
      <c r="B519" s="7"/>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3.2" x14ac:dyDescent="0.25">
      <c r="A520" s="2"/>
      <c r="B520" s="7"/>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3.2" x14ac:dyDescent="0.25">
      <c r="A521" s="2"/>
      <c r="B521" s="7"/>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2" x14ac:dyDescent="0.25">
      <c r="A522" s="2"/>
      <c r="B522" s="7"/>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3.2" x14ac:dyDescent="0.25">
      <c r="A523" s="2"/>
      <c r="B523" s="7"/>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3.2" x14ac:dyDescent="0.25">
      <c r="A524" s="2"/>
      <c r="B524" s="7"/>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3.2" x14ac:dyDescent="0.25">
      <c r="A525" s="2"/>
      <c r="B525" s="7"/>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3.2" x14ac:dyDescent="0.25">
      <c r="A526" s="2"/>
      <c r="B526" s="7"/>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3.2" x14ac:dyDescent="0.25">
      <c r="A527" s="2"/>
      <c r="B527" s="7"/>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3.2" x14ac:dyDescent="0.25">
      <c r="A528" s="2"/>
      <c r="B528" s="7"/>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3.2" x14ac:dyDescent="0.25">
      <c r="A529" s="2"/>
      <c r="B529" s="7"/>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3.2" x14ac:dyDescent="0.25">
      <c r="A530" s="2"/>
      <c r="B530" s="7"/>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3.2" x14ac:dyDescent="0.25">
      <c r="A531" s="2"/>
      <c r="B531" s="7"/>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3.2" x14ac:dyDescent="0.25">
      <c r="A532" s="2"/>
      <c r="B532" s="7"/>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3.2" x14ac:dyDescent="0.25">
      <c r="A533" s="2"/>
      <c r="B533" s="7"/>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3.2" x14ac:dyDescent="0.25">
      <c r="A534" s="2"/>
      <c r="B534" s="7"/>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3.2" x14ac:dyDescent="0.25">
      <c r="A535" s="2"/>
      <c r="B535" s="7"/>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3.2" x14ac:dyDescent="0.25">
      <c r="A536" s="2"/>
      <c r="B536" s="7"/>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3.2" x14ac:dyDescent="0.25">
      <c r="A537" s="2"/>
      <c r="B537" s="7"/>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3.2" x14ac:dyDescent="0.25">
      <c r="A538" s="2"/>
      <c r="B538" s="7"/>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3.2" x14ac:dyDescent="0.25">
      <c r="A539" s="2"/>
      <c r="B539" s="7"/>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3.2" x14ac:dyDescent="0.25">
      <c r="A540" s="2"/>
      <c r="B540" s="7"/>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3.2" x14ac:dyDescent="0.25">
      <c r="A541" s="2"/>
      <c r="B541" s="7"/>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3.2" x14ac:dyDescent="0.25">
      <c r="A542" s="2"/>
      <c r="B542" s="7"/>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3.2" x14ac:dyDescent="0.25">
      <c r="A543" s="2"/>
      <c r="B543" s="7"/>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3.2" x14ac:dyDescent="0.25">
      <c r="A544" s="2"/>
      <c r="B544" s="7"/>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3.2" x14ac:dyDescent="0.25">
      <c r="A545" s="2"/>
      <c r="B545" s="7"/>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3.2" x14ac:dyDescent="0.25">
      <c r="A546" s="2"/>
      <c r="B546" s="7"/>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3.2" x14ac:dyDescent="0.25">
      <c r="A547" s="2"/>
      <c r="B547" s="7"/>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3.2" x14ac:dyDescent="0.25">
      <c r="A548" s="2"/>
      <c r="B548" s="7"/>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3.2" x14ac:dyDescent="0.25">
      <c r="A549" s="2"/>
      <c r="B549" s="7"/>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3.2" x14ac:dyDescent="0.25">
      <c r="A550" s="2"/>
      <c r="B550" s="7"/>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3.2" x14ac:dyDescent="0.25">
      <c r="A551" s="2"/>
      <c r="B551" s="7"/>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3.2" x14ac:dyDescent="0.25">
      <c r="A552" s="2"/>
      <c r="B552" s="7"/>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3.2" x14ac:dyDescent="0.25">
      <c r="A553" s="2"/>
      <c r="B553" s="7"/>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3.2" x14ac:dyDescent="0.25">
      <c r="A554" s="2"/>
      <c r="B554" s="7"/>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3.2" x14ac:dyDescent="0.25">
      <c r="A555" s="2"/>
      <c r="B555" s="7"/>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3.2" x14ac:dyDescent="0.25">
      <c r="A556" s="2"/>
      <c r="B556" s="7"/>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3.2" x14ac:dyDescent="0.25">
      <c r="A557" s="2"/>
      <c r="B557" s="7"/>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3.2" x14ac:dyDescent="0.25">
      <c r="A558" s="2"/>
      <c r="B558" s="7"/>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3.2" x14ac:dyDescent="0.25">
      <c r="A559" s="2"/>
      <c r="B559" s="7"/>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3.2" x14ac:dyDescent="0.25">
      <c r="A560" s="2"/>
      <c r="B560" s="7"/>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3.2" x14ac:dyDescent="0.25">
      <c r="A561" s="2"/>
      <c r="B561" s="7"/>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3.2" x14ac:dyDescent="0.25">
      <c r="A562" s="2"/>
      <c r="B562" s="7"/>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3.2" x14ac:dyDescent="0.25">
      <c r="A563" s="2"/>
      <c r="B563" s="7"/>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3.2" x14ac:dyDescent="0.25">
      <c r="A564" s="2"/>
      <c r="B564" s="7"/>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3.2" x14ac:dyDescent="0.25">
      <c r="A565" s="2"/>
      <c r="B565" s="7"/>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3.2" x14ac:dyDescent="0.25">
      <c r="A566" s="2"/>
      <c r="B566" s="7"/>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3.2" x14ac:dyDescent="0.25">
      <c r="A567" s="2"/>
      <c r="B567" s="7"/>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3.2" x14ac:dyDescent="0.25">
      <c r="A568" s="2"/>
      <c r="B568" s="7"/>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3.2" x14ac:dyDescent="0.25">
      <c r="A569" s="2"/>
      <c r="B569" s="7"/>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3.2" x14ac:dyDescent="0.25">
      <c r="A570" s="2"/>
      <c r="B570" s="7"/>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3.2" x14ac:dyDescent="0.25">
      <c r="A571" s="2"/>
      <c r="B571" s="7"/>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3.2" x14ac:dyDescent="0.25">
      <c r="A572" s="2"/>
      <c r="B572" s="7"/>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3.2" x14ac:dyDescent="0.25">
      <c r="A573" s="2"/>
      <c r="B573" s="7"/>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3.2" x14ac:dyDescent="0.25">
      <c r="A574" s="2"/>
      <c r="B574" s="7"/>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3.2" x14ac:dyDescent="0.25">
      <c r="A575" s="2"/>
      <c r="B575" s="7"/>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3.2" x14ac:dyDescent="0.25">
      <c r="A576" s="2"/>
      <c r="B576" s="7"/>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3.2" x14ac:dyDescent="0.25">
      <c r="A577" s="2"/>
      <c r="B577" s="7"/>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3.2" x14ac:dyDescent="0.25">
      <c r="A578" s="2"/>
      <c r="B578" s="7"/>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3.2" x14ac:dyDescent="0.25">
      <c r="A579" s="2"/>
      <c r="B579" s="7"/>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3.2" x14ac:dyDescent="0.25">
      <c r="A580" s="2"/>
      <c r="B580" s="7"/>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3.2" x14ac:dyDescent="0.25">
      <c r="A581" s="2"/>
      <c r="B581" s="7"/>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3.2" x14ac:dyDescent="0.25">
      <c r="A582" s="2"/>
      <c r="B582" s="7"/>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3.2" x14ac:dyDescent="0.25">
      <c r="A583" s="2"/>
      <c r="B583" s="7"/>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3.2" x14ac:dyDescent="0.25">
      <c r="A584" s="2"/>
      <c r="B584" s="7"/>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3.2" x14ac:dyDescent="0.25">
      <c r="A585" s="2"/>
      <c r="B585" s="7"/>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3.2" x14ac:dyDescent="0.25">
      <c r="A586" s="2"/>
      <c r="B586" s="7"/>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3.2" x14ac:dyDescent="0.25">
      <c r="A587" s="2"/>
      <c r="B587" s="7"/>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3.2" x14ac:dyDescent="0.25">
      <c r="A588" s="2"/>
      <c r="B588" s="7"/>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3.2" x14ac:dyDescent="0.25">
      <c r="A589" s="2"/>
      <c r="B589" s="7"/>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3.2" x14ac:dyDescent="0.25">
      <c r="A590" s="2"/>
      <c r="B590" s="7"/>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3.2" x14ac:dyDescent="0.25">
      <c r="A591" s="2"/>
      <c r="B591" s="7"/>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3.2" x14ac:dyDescent="0.25">
      <c r="A592" s="2"/>
      <c r="B592" s="7"/>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3.2" x14ac:dyDescent="0.25">
      <c r="A593" s="2"/>
      <c r="B593" s="7"/>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3.2" x14ac:dyDescent="0.25">
      <c r="A594" s="2"/>
      <c r="B594" s="7"/>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3.2" x14ac:dyDescent="0.25">
      <c r="A595" s="2"/>
      <c r="B595" s="7"/>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3.2" x14ac:dyDescent="0.25">
      <c r="A596" s="2"/>
      <c r="B596" s="7"/>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3.2" x14ac:dyDescent="0.25">
      <c r="A597" s="2"/>
      <c r="B597" s="7"/>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3.2" x14ac:dyDescent="0.25">
      <c r="A598" s="2"/>
      <c r="B598" s="7"/>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3.2" x14ac:dyDescent="0.25">
      <c r="A599" s="2"/>
      <c r="B599" s="7"/>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3.2" x14ac:dyDescent="0.25">
      <c r="A600" s="2"/>
      <c r="B600" s="7"/>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3.2" x14ac:dyDescent="0.25">
      <c r="A601" s="2"/>
      <c r="B601" s="7"/>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3.2" x14ac:dyDescent="0.25">
      <c r="A602" s="2"/>
      <c r="B602" s="7"/>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3.2" x14ac:dyDescent="0.25">
      <c r="A603" s="2"/>
      <c r="B603" s="7"/>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3.2" x14ac:dyDescent="0.25">
      <c r="A604" s="2"/>
      <c r="B604" s="7"/>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3.2" x14ac:dyDescent="0.25">
      <c r="A605" s="2"/>
      <c r="B605" s="7"/>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3.2" x14ac:dyDescent="0.25">
      <c r="A606" s="2"/>
      <c r="B606" s="7"/>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3.2" x14ac:dyDescent="0.25">
      <c r="A607" s="2"/>
      <c r="B607" s="7"/>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3.2" x14ac:dyDescent="0.25">
      <c r="A608" s="2"/>
      <c r="B608" s="7"/>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3.2" x14ac:dyDescent="0.25">
      <c r="A609" s="2"/>
      <c r="B609" s="7"/>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3.2" x14ac:dyDescent="0.25">
      <c r="A610" s="2"/>
      <c r="B610" s="7"/>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3.2" x14ac:dyDescent="0.25">
      <c r="A611" s="2"/>
      <c r="B611" s="7"/>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3.2" x14ac:dyDescent="0.25">
      <c r="A612" s="2"/>
      <c r="B612" s="7"/>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3.2" x14ac:dyDescent="0.25">
      <c r="A613" s="2"/>
      <c r="B613" s="7"/>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3.2" x14ac:dyDescent="0.25">
      <c r="A614" s="2"/>
      <c r="B614" s="7"/>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3.2" x14ac:dyDescent="0.25">
      <c r="A615" s="2"/>
      <c r="B615" s="7"/>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3.2" x14ac:dyDescent="0.25">
      <c r="A616" s="2"/>
      <c r="B616" s="7"/>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3.2" x14ac:dyDescent="0.25">
      <c r="A617" s="2"/>
      <c r="B617" s="7"/>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3.2" x14ac:dyDescent="0.25">
      <c r="A618" s="2"/>
      <c r="B618" s="7"/>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3.2" x14ac:dyDescent="0.25">
      <c r="A619" s="2"/>
      <c r="B619" s="7"/>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3.2" x14ac:dyDescent="0.25">
      <c r="A620" s="2"/>
      <c r="B620" s="7"/>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3.2" x14ac:dyDescent="0.25">
      <c r="A621" s="2"/>
      <c r="B621" s="7"/>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3.2" x14ac:dyDescent="0.25">
      <c r="A622" s="2"/>
      <c r="B622" s="7"/>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3.2" x14ac:dyDescent="0.25">
      <c r="A623" s="2"/>
      <c r="B623" s="7"/>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3.2" x14ac:dyDescent="0.25">
      <c r="A624" s="2"/>
      <c r="B624" s="7"/>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3.2" x14ac:dyDescent="0.25">
      <c r="A625" s="2"/>
      <c r="B625" s="7"/>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3.2" x14ac:dyDescent="0.25">
      <c r="A626" s="2"/>
      <c r="B626" s="7"/>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3.2" x14ac:dyDescent="0.25">
      <c r="A627" s="2"/>
      <c r="B627" s="7"/>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3.2" x14ac:dyDescent="0.25">
      <c r="A628" s="2"/>
      <c r="B628" s="7"/>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3.2" x14ac:dyDescent="0.25">
      <c r="A629" s="2"/>
      <c r="B629" s="7"/>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3.2" x14ac:dyDescent="0.25">
      <c r="A630" s="2"/>
      <c r="B630" s="7"/>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3.2" x14ac:dyDescent="0.25">
      <c r="A631" s="2"/>
      <c r="B631" s="7"/>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3.2" x14ac:dyDescent="0.25">
      <c r="A632" s="2"/>
      <c r="B632" s="7"/>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3.2" x14ac:dyDescent="0.25">
      <c r="A633" s="2"/>
      <c r="B633" s="7"/>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3.2" x14ac:dyDescent="0.25">
      <c r="A634" s="2"/>
      <c r="B634" s="7"/>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3.2" x14ac:dyDescent="0.25">
      <c r="A635" s="2"/>
      <c r="B635" s="7"/>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3.2" x14ac:dyDescent="0.25">
      <c r="A636" s="2"/>
      <c r="B636" s="7"/>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3.2" x14ac:dyDescent="0.25">
      <c r="A637" s="2"/>
      <c r="B637" s="7"/>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3.2" x14ac:dyDescent="0.25">
      <c r="A638" s="2"/>
      <c r="B638" s="7"/>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3.2" x14ac:dyDescent="0.25">
      <c r="A639" s="2"/>
      <c r="B639" s="7"/>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3.2" x14ac:dyDescent="0.25">
      <c r="A640" s="2"/>
      <c r="B640" s="7"/>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3.2" x14ac:dyDescent="0.25">
      <c r="A641" s="2"/>
      <c r="B641" s="7"/>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3.2" x14ac:dyDescent="0.25">
      <c r="A642" s="2"/>
      <c r="B642" s="7"/>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3.2" x14ac:dyDescent="0.25">
      <c r="A643" s="2"/>
      <c r="B643" s="7"/>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3.2" x14ac:dyDescent="0.25">
      <c r="A644" s="2"/>
      <c r="B644" s="7"/>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3.2" x14ac:dyDescent="0.25">
      <c r="A645" s="2"/>
      <c r="B645" s="7"/>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3.2" x14ac:dyDescent="0.25">
      <c r="A646" s="2"/>
      <c r="B646" s="7"/>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3.2" x14ac:dyDescent="0.25">
      <c r="A647" s="2"/>
      <c r="B647" s="7"/>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3.2" x14ac:dyDescent="0.25">
      <c r="A648" s="2"/>
      <c r="B648" s="7"/>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3.2" x14ac:dyDescent="0.25">
      <c r="A649" s="2"/>
      <c r="B649" s="7"/>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3.2" x14ac:dyDescent="0.25">
      <c r="A650" s="2"/>
      <c r="B650" s="7"/>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3.2" x14ac:dyDescent="0.25">
      <c r="A651" s="2"/>
      <c r="B651" s="7"/>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3.2" x14ac:dyDescent="0.25">
      <c r="A652" s="2"/>
      <c r="B652" s="7"/>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3.2" x14ac:dyDescent="0.25">
      <c r="A653" s="2"/>
      <c r="B653" s="7"/>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3.2" x14ac:dyDescent="0.25">
      <c r="A654" s="2"/>
      <c r="B654" s="7"/>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3.2" x14ac:dyDescent="0.25">
      <c r="A655" s="2"/>
      <c r="B655" s="7"/>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3.2" x14ac:dyDescent="0.25">
      <c r="A656" s="2"/>
      <c r="B656" s="7"/>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3.2" x14ac:dyDescent="0.25">
      <c r="A657" s="2"/>
      <c r="B657" s="7"/>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3.2" x14ac:dyDescent="0.25">
      <c r="A658" s="2"/>
      <c r="B658" s="7"/>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3.2" x14ac:dyDescent="0.25">
      <c r="A659" s="2"/>
      <c r="B659" s="7"/>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3.2" x14ac:dyDescent="0.25">
      <c r="A660" s="2"/>
      <c r="B660" s="7"/>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3.2" x14ac:dyDescent="0.25">
      <c r="A661" s="2"/>
      <c r="B661" s="7"/>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3.2" x14ac:dyDescent="0.25">
      <c r="A662" s="2"/>
      <c r="B662" s="7"/>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3.2" x14ac:dyDescent="0.25">
      <c r="A663" s="2"/>
      <c r="B663" s="7"/>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3.2" x14ac:dyDescent="0.25">
      <c r="A664" s="2"/>
      <c r="B664" s="7"/>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3.2" x14ac:dyDescent="0.25">
      <c r="A665" s="2"/>
      <c r="B665" s="7"/>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3.2" x14ac:dyDescent="0.25">
      <c r="A666" s="2"/>
      <c r="B666" s="7"/>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3.2" x14ac:dyDescent="0.25">
      <c r="A667" s="2"/>
      <c r="B667" s="7"/>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3.2" x14ac:dyDescent="0.25">
      <c r="A668" s="2"/>
      <c r="B668" s="7"/>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3.2" x14ac:dyDescent="0.25">
      <c r="A669" s="2"/>
      <c r="B669" s="7"/>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3.2" x14ac:dyDescent="0.25">
      <c r="A670" s="2"/>
      <c r="B670" s="7"/>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3.2" x14ac:dyDescent="0.25">
      <c r="A671" s="2"/>
      <c r="B671" s="7"/>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3.2" x14ac:dyDescent="0.25">
      <c r="A672" s="2"/>
      <c r="B672" s="7"/>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3.2" x14ac:dyDescent="0.25">
      <c r="A673" s="2"/>
      <c r="B673" s="7"/>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3.2" x14ac:dyDescent="0.25">
      <c r="A674" s="2"/>
      <c r="B674" s="7"/>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3.2" x14ac:dyDescent="0.25">
      <c r="A675" s="2"/>
      <c r="B675" s="7"/>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3.2" x14ac:dyDescent="0.25">
      <c r="A676" s="2"/>
      <c r="B676" s="7"/>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3.2" x14ac:dyDescent="0.25">
      <c r="A677" s="2"/>
      <c r="B677" s="7"/>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3.2" x14ac:dyDescent="0.25">
      <c r="A678" s="2"/>
      <c r="B678" s="7"/>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3.2" x14ac:dyDescent="0.25">
      <c r="A679" s="2"/>
      <c r="B679" s="7"/>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3.2" x14ac:dyDescent="0.25">
      <c r="A680" s="2"/>
      <c r="B680" s="7"/>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3.2" x14ac:dyDescent="0.25">
      <c r="A681" s="2"/>
      <c r="B681" s="7"/>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3.2" x14ac:dyDescent="0.25">
      <c r="A682" s="2"/>
      <c r="B682" s="7"/>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3.2" x14ac:dyDescent="0.25">
      <c r="A683" s="2"/>
      <c r="B683" s="7"/>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3.2" x14ac:dyDescent="0.25">
      <c r="A684" s="2"/>
      <c r="B684" s="7"/>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3.2" x14ac:dyDescent="0.25">
      <c r="A685" s="2"/>
      <c r="B685" s="7"/>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3.2" x14ac:dyDescent="0.25">
      <c r="A686" s="2"/>
      <c r="B686" s="7"/>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3.2" x14ac:dyDescent="0.25">
      <c r="A687" s="2"/>
      <c r="B687" s="7"/>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3.2" x14ac:dyDescent="0.25">
      <c r="A688" s="2"/>
      <c r="B688" s="7"/>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3.2" x14ac:dyDescent="0.25">
      <c r="A689" s="2"/>
      <c r="B689" s="7"/>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3.2" x14ac:dyDescent="0.25">
      <c r="A690" s="2"/>
      <c r="B690" s="7"/>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3.2" x14ac:dyDescent="0.25">
      <c r="A691" s="2"/>
      <c r="B691" s="7"/>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3.2" x14ac:dyDescent="0.25">
      <c r="A692" s="2"/>
      <c r="B692" s="7"/>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3.2" x14ac:dyDescent="0.25">
      <c r="A693" s="2"/>
      <c r="B693" s="7"/>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3.2" x14ac:dyDescent="0.25">
      <c r="A694" s="2"/>
      <c r="B694" s="7"/>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3.2" x14ac:dyDescent="0.25">
      <c r="A695" s="2"/>
      <c r="B695" s="7"/>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3.2" x14ac:dyDescent="0.25">
      <c r="A696" s="2"/>
      <c r="B696" s="7"/>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3.2" x14ac:dyDescent="0.25">
      <c r="A697" s="2"/>
      <c r="B697" s="7"/>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3.2" x14ac:dyDescent="0.25">
      <c r="A698" s="2"/>
      <c r="B698" s="7"/>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3.2" x14ac:dyDescent="0.25">
      <c r="A699" s="2"/>
      <c r="B699" s="7"/>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3.2" x14ac:dyDescent="0.25">
      <c r="A700" s="2"/>
      <c r="B700" s="7"/>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3.2" x14ac:dyDescent="0.25">
      <c r="A701" s="2"/>
      <c r="B701" s="7"/>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3.2" x14ac:dyDescent="0.25">
      <c r="A702" s="2"/>
      <c r="B702" s="7"/>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3.2" x14ac:dyDescent="0.25">
      <c r="A703" s="2"/>
      <c r="B703" s="7"/>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3.2" x14ac:dyDescent="0.25">
      <c r="A704" s="2"/>
      <c r="B704" s="7"/>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3.2" x14ac:dyDescent="0.25">
      <c r="A705" s="2"/>
      <c r="B705" s="7"/>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3.2" x14ac:dyDescent="0.25">
      <c r="A706" s="2"/>
      <c r="B706" s="7"/>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3.2" x14ac:dyDescent="0.25">
      <c r="A707" s="2"/>
      <c r="B707" s="7"/>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3.2" x14ac:dyDescent="0.25">
      <c r="A708" s="2"/>
      <c r="B708" s="7"/>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3.2" x14ac:dyDescent="0.25">
      <c r="A709" s="2"/>
      <c r="B709" s="7"/>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3.2" x14ac:dyDescent="0.25">
      <c r="A710" s="2"/>
      <c r="B710" s="7"/>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3.2" x14ac:dyDescent="0.25">
      <c r="A711" s="2"/>
      <c r="B711" s="7"/>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3.2" x14ac:dyDescent="0.25">
      <c r="A712" s="2"/>
      <c r="B712" s="7"/>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3.2" x14ac:dyDescent="0.25">
      <c r="A713" s="2"/>
      <c r="B713" s="7"/>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3.2" x14ac:dyDescent="0.25">
      <c r="A714" s="2"/>
      <c r="B714" s="7"/>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3.2" x14ac:dyDescent="0.25">
      <c r="A715" s="2"/>
      <c r="B715" s="7"/>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3.2" x14ac:dyDescent="0.25">
      <c r="A716" s="2"/>
      <c r="B716" s="7"/>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3.2" x14ac:dyDescent="0.25">
      <c r="A717" s="2"/>
      <c r="B717" s="7"/>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3.2" x14ac:dyDescent="0.25">
      <c r="A718" s="2"/>
      <c r="B718" s="7"/>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3.2" x14ac:dyDescent="0.25">
      <c r="A719" s="2"/>
      <c r="B719" s="7"/>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3.2" x14ac:dyDescent="0.25">
      <c r="A720" s="2"/>
      <c r="B720" s="7"/>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3.2" x14ac:dyDescent="0.25">
      <c r="A721" s="2"/>
      <c r="B721" s="7"/>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3.2" x14ac:dyDescent="0.25">
      <c r="A722" s="2"/>
      <c r="B722" s="7"/>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3.2" x14ac:dyDescent="0.25">
      <c r="A723" s="2"/>
      <c r="B723" s="7"/>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3.2" x14ac:dyDescent="0.25">
      <c r="A724" s="2"/>
      <c r="B724" s="7"/>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3.2" x14ac:dyDescent="0.25">
      <c r="A725" s="2"/>
      <c r="B725" s="7"/>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3.2" x14ac:dyDescent="0.25">
      <c r="A726" s="2"/>
      <c r="B726" s="7"/>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3.2" x14ac:dyDescent="0.25">
      <c r="A727" s="2"/>
      <c r="B727" s="7"/>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3.2" x14ac:dyDescent="0.25">
      <c r="A728" s="2"/>
      <c r="B728" s="7"/>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3.2" x14ac:dyDescent="0.25">
      <c r="A729" s="2"/>
      <c r="B729" s="7"/>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3.2" x14ac:dyDescent="0.25">
      <c r="A730" s="2"/>
      <c r="B730" s="7"/>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3.2" x14ac:dyDescent="0.25">
      <c r="A731" s="2"/>
      <c r="B731" s="7"/>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3.2" x14ac:dyDescent="0.25">
      <c r="A732" s="2"/>
      <c r="B732" s="7"/>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3.2" x14ac:dyDescent="0.25">
      <c r="A733" s="2"/>
      <c r="B733" s="7"/>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3.2" x14ac:dyDescent="0.25">
      <c r="A734" s="2"/>
      <c r="B734" s="7"/>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3.2" x14ac:dyDescent="0.25">
      <c r="A735" s="2"/>
      <c r="B735" s="7"/>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3.2" x14ac:dyDescent="0.25">
      <c r="A736" s="2"/>
      <c r="B736" s="7"/>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3.2" x14ac:dyDescent="0.25">
      <c r="A737" s="2"/>
      <c r="B737" s="7"/>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3.2" x14ac:dyDescent="0.25">
      <c r="A738" s="2"/>
      <c r="B738" s="7"/>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3.2" x14ac:dyDescent="0.25">
      <c r="A739" s="2"/>
      <c r="B739" s="7"/>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3.2" x14ac:dyDescent="0.25">
      <c r="A740" s="2"/>
      <c r="B740" s="7"/>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3.2" x14ac:dyDescent="0.25">
      <c r="A741" s="2"/>
      <c r="B741" s="7"/>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3.2" x14ac:dyDescent="0.25">
      <c r="A742" s="2"/>
      <c r="B742" s="7"/>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3.2" x14ac:dyDescent="0.25">
      <c r="A743" s="2"/>
      <c r="B743" s="7"/>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3.2" x14ac:dyDescent="0.25">
      <c r="A744" s="2"/>
      <c r="B744" s="7"/>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3.2" x14ac:dyDescent="0.25">
      <c r="A745" s="2"/>
      <c r="B745" s="7"/>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3.2" x14ac:dyDescent="0.25">
      <c r="A746" s="2"/>
      <c r="B746" s="7"/>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3.2" x14ac:dyDescent="0.25">
      <c r="A747" s="2"/>
      <c r="B747" s="7"/>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3.2" x14ac:dyDescent="0.25">
      <c r="A748" s="2"/>
      <c r="B748" s="7"/>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3.2" x14ac:dyDescent="0.25">
      <c r="A749" s="2"/>
      <c r="B749" s="7"/>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3.2" x14ac:dyDescent="0.25">
      <c r="A750" s="2"/>
      <c r="B750" s="7"/>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3.2" x14ac:dyDescent="0.25">
      <c r="A751" s="2"/>
      <c r="B751" s="7"/>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3.2" x14ac:dyDescent="0.25">
      <c r="A752" s="2"/>
      <c r="B752" s="7"/>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3.2" x14ac:dyDescent="0.25">
      <c r="A753" s="2"/>
      <c r="B753" s="7"/>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3.2" x14ac:dyDescent="0.25">
      <c r="A754" s="2"/>
      <c r="B754" s="7"/>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3.2" x14ac:dyDescent="0.25">
      <c r="A755" s="2"/>
      <c r="B755" s="7"/>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3.2" x14ac:dyDescent="0.25">
      <c r="A756" s="2"/>
      <c r="B756" s="7"/>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3.2" x14ac:dyDescent="0.25">
      <c r="A757" s="2"/>
      <c r="B757" s="7"/>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3.2" x14ac:dyDescent="0.25">
      <c r="A758" s="2"/>
      <c r="B758" s="7"/>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3.2" x14ac:dyDescent="0.25">
      <c r="A759" s="2"/>
      <c r="B759" s="7"/>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3.2" x14ac:dyDescent="0.25">
      <c r="A760" s="2"/>
      <c r="B760" s="7"/>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3.2" x14ac:dyDescent="0.25">
      <c r="A761" s="2"/>
      <c r="B761" s="7"/>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3.2" x14ac:dyDescent="0.25">
      <c r="A762" s="2"/>
      <c r="B762" s="7"/>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3.2" x14ac:dyDescent="0.25">
      <c r="A763" s="2"/>
      <c r="B763" s="7"/>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3.2" x14ac:dyDescent="0.25">
      <c r="A764" s="2"/>
      <c r="B764" s="7"/>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3.2" x14ac:dyDescent="0.25">
      <c r="A765" s="2"/>
      <c r="B765" s="7"/>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3.2" x14ac:dyDescent="0.25">
      <c r="A766" s="2"/>
      <c r="B766" s="7"/>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3.2" x14ac:dyDescent="0.25">
      <c r="A767" s="2"/>
      <c r="B767" s="7"/>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3.2" x14ac:dyDescent="0.25">
      <c r="A768" s="2"/>
      <c r="B768" s="7"/>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3.2" x14ac:dyDescent="0.25">
      <c r="A769" s="2"/>
      <c r="B769" s="7"/>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3.2" x14ac:dyDescent="0.25">
      <c r="A770" s="2"/>
      <c r="B770" s="7"/>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3.2" x14ac:dyDescent="0.25">
      <c r="A771" s="2"/>
      <c r="B771" s="7"/>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3.2" x14ac:dyDescent="0.25">
      <c r="A772" s="2"/>
      <c r="B772" s="7"/>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3.2" x14ac:dyDescent="0.25">
      <c r="A773" s="2"/>
      <c r="B773" s="7"/>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3.2" x14ac:dyDescent="0.25">
      <c r="A774" s="2"/>
      <c r="B774" s="7"/>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3.2" x14ac:dyDescent="0.25">
      <c r="A775" s="2"/>
      <c r="B775" s="7"/>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3.2" x14ac:dyDescent="0.25">
      <c r="A776" s="2"/>
      <c r="B776" s="7"/>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3.2" x14ac:dyDescent="0.25">
      <c r="A777" s="2"/>
      <c r="B777" s="7"/>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3.2" x14ac:dyDescent="0.25">
      <c r="A778" s="2"/>
      <c r="B778" s="7"/>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3.2" x14ac:dyDescent="0.25">
      <c r="A779" s="2"/>
      <c r="B779" s="7"/>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3.2" x14ac:dyDescent="0.25">
      <c r="A780" s="2"/>
      <c r="B780" s="7"/>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3.2" x14ac:dyDescent="0.25">
      <c r="A781" s="2"/>
      <c r="B781" s="7"/>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3.2" x14ac:dyDescent="0.25">
      <c r="A782" s="2"/>
      <c r="B782" s="7"/>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3.2" x14ac:dyDescent="0.25">
      <c r="A783" s="2"/>
      <c r="B783" s="7"/>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3.2" x14ac:dyDescent="0.25">
      <c r="A784" s="2"/>
      <c r="B784" s="7"/>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3.2" x14ac:dyDescent="0.25">
      <c r="A785" s="2"/>
      <c r="B785" s="7"/>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3.2" x14ac:dyDescent="0.25">
      <c r="A786" s="2"/>
      <c r="B786" s="7"/>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3.2" x14ac:dyDescent="0.25">
      <c r="A787" s="2"/>
      <c r="B787" s="7"/>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3.2" x14ac:dyDescent="0.25">
      <c r="A788" s="2"/>
      <c r="B788" s="7"/>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3.2" x14ac:dyDescent="0.25">
      <c r="A789" s="2"/>
      <c r="B789" s="7"/>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3.2" x14ac:dyDescent="0.25">
      <c r="A790" s="2"/>
      <c r="B790" s="7"/>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3.2" x14ac:dyDescent="0.25">
      <c r="A791" s="2"/>
      <c r="B791" s="7"/>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3.2" x14ac:dyDescent="0.25">
      <c r="A792" s="2"/>
      <c r="B792" s="7"/>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3.2" x14ac:dyDescent="0.25">
      <c r="A793" s="2"/>
      <c r="B793" s="7"/>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3.2" x14ac:dyDescent="0.25">
      <c r="A794" s="2"/>
      <c r="B794" s="7"/>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3.2" x14ac:dyDescent="0.25">
      <c r="A795" s="2"/>
      <c r="B795" s="7"/>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3.2" x14ac:dyDescent="0.25">
      <c r="A796" s="2"/>
      <c r="B796" s="7"/>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3.2" x14ac:dyDescent="0.25">
      <c r="A797" s="2"/>
      <c r="B797" s="7"/>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3.2" x14ac:dyDescent="0.25">
      <c r="A798" s="2"/>
      <c r="B798" s="7"/>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3.2" x14ac:dyDescent="0.25">
      <c r="A799" s="2"/>
      <c r="B799" s="7"/>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3.2" x14ac:dyDescent="0.25">
      <c r="A800" s="2"/>
      <c r="B800" s="7"/>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3.2" x14ac:dyDescent="0.25">
      <c r="A801" s="2"/>
      <c r="B801" s="7"/>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3.2" x14ac:dyDescent="0.25">
      <c r="A802" s="2"/>
      <c r="B802" s="7"/>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3.2" x14ac:dyDescent="0.25">
      <c r="A803" s="2"/>
      <c r="B803" s="7"/>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3.2" x14ac:dyDescent="0.25">
      <c r="A804" s="2"/>
      <c r="B804" s="7"/>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3.2" x14ac:dyDescent="0.25">
      <c r="A805" s="2"/>
      <c r="B805" s="7"/>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3.2" x14ac:dyDescent="0.25">
      <c r="A806" s="2"/>
      <c r="B806" s="7"/>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3.2" x14ac:dyDescent="0.25">
      <c r="A807" s="2"/>
      <c r="B807" s="7"/>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3.2" x14ac:dyDescent="0.25">
      <c r="A808" s="2"/>
      <c r="B808" s="7"/>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3.2" x14ac:dyDescent="0.25">
      <c r="A809" s="2"/>
      <c r="B809" s="7"/>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3.2" x14ac:dyDescent="0.25">
      <c r="A810" s="2"/>
      <c r="B810" s="7"/>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3.2" x14ac:dyDescent="0.25">
      <c r="A811" s="2"/>
      <c r="B811" s="7"/>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3.2" x14ac:dyDescent="0.25">
      <c r="A812" s="2"/>
      <c r="B812" s="7"/>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3.2" x14ac:dyDescent="0.25">
      <c r="A813" s="2"/>
      <c r="B813" s="7"/>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3.2" x14ac:dyDescent="0.25">
      <c r="A814" s="2"/>
      <c r="B814" s="7"/>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3.2" x14ac:dyDescent="0.25">
      <c r="A815" s="2"/>
      <c r="B815" s="7"/>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3.2" x14ac:dyDescent="0.25">
      <c r="A816" s="2"/>
      <c r="B816" s="7"/>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3.2" x14ac:dyDescent="0.25">
      <c r="A817" s="2"/>
      <c r="B817" s="7"/>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3.2" x14ac:dyDescent="0.25">
      <c r="A818" s="2"/>
      <c r="B818" s="7"/>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3.2" x14ac:dyDescent="0.25">
      <c r="A819" s="2"/>
      <c r="B819" s="7"/>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3.2" x14ac:dyDescent="0.25">
      <c r="A820" s="2"/>
      <c r="B820" s="7"/>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3.2" x14ac:dyDescent="0.25">
      <c r="A821" s="2"/>
      <c r="B821" s="7"/>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3.2" x14ac:dyDescent="0.25">
      <c r="A822" s="2"/>
      <c r="B822" s="7"/>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3.2" x14ac:dyDescent="0.25">
      <c r="A823" s="2"/>
      <c r="B823" s="7"/>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3.2" x14ac:dyDescent="0.25">
      <c r="A824" s="2"/>
      <c r="B824" s="7"/>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3.2" x14ac:dyDescent="0.25">
      <c r="A825" s="2"/>
      <c r="B825" s="7"/>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3.2" x14ac:dyDescent="0.25">
      <c r="A826" s="2"/>
      <c r="B826" s="7"/>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3.2" x14ac:dyDescent="0.25">
      <c r="A827" s="2"/>
      <c r="B827" s="7"/>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3.2" x14ac:dyDescent="0.25">
      <c r="A828" s="2"/>
      <c r="B828" s="7"/>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3.2" x14ac:dyDescent="0.25">
      <c r="A829" s="2"/>
      <c r="B829" s="7"/>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3.2" x14ac:dyDescent="0.25">
      <c r="A830" s="2"/>
      <c r="B830" s="7"/>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3.2" x14ac:dyDescent="0.25">
      <c r="A831" s="2"/>
      <c r="B831" s="7"/>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3.2" x14ac:dyDescent="0.25">
      <c r="A832" s="2"/>
      <c r="B832" s="7"/>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3.2" x14ac:dyDescent="0.25">
      <c r="A833" s="2"/>
      <c r="B833" s="7"/>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3.2" x14ac:dyDescent="0.25">
      <c r="A834" s="2"/>
      <c r="B834" s="7"/>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3.2" x14ac:dyDescent="0.25">
      <c r="A835" s="2"/>
      <c r="B835" s="7"/>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3.2" x14ac:dyDescent="0.25">
      <c r="A836" s="2"/>
      <c r="B836" s="7"/>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3.2" x14ac:dyDescent="0.25">
      <c r="A837" s="2"/>
      <c r="B837" s="7"/>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3.2" x14ac:dyDescent="0.25">
      <c r="A838" s="2"/>
      <c r="B838" s="7"/>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3.2" x14ac:dyDescent="0.25">
      <c r="A839" s="2"/>
      <c r="B839" s="7"/>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3.2" x14ac:dyDescent="0.25">
      <c r="A840" s="2"/>
      <c r="B840" s="7"/>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3.2" x14ac:dyDescent="0.25">
      <c r="A841" s="2"/>
      <c r="B841" s="7"/>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3.2" x14ac:dyDescent="0.25">
      <c r="A842" s="2"/>
      <c r="B842" s="7"/>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3.2" x14ac:dyDescent="0.25">
      <c r="A843" s="2"/>
      <c r="B843" s="7"/>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3.2" x14ac:dyDescent="0.25">
      <c r="A844" s="2"/>
      <c r="B844" s="7"/>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3.2" x14ac:dyDescent="0.25">
      <c r="A845" s="2"/>
      <c r="B845" s="7"/>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3.2" x14ac:dyDescent="0.25">
      <c r="A846" s="2"/>
      <c r="B846" s="7"/>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3.2" x14ac:dyDescent="0.25">
      <c r="A847" s="2"/>
      <c r="B847" s="7"/>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3.2" x14ac:dyDescent="0.25">
      <c r="A848" s="2"/>
      <c r="B848" s="7"/>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3.2" x14ac:dyDescent="0.25">
      <c r="A849" s="2"/>
      <c r="B849" s="7"/>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3.2" x14ac:dyDescent="0.25">
      <c r="A850" s="2"/>
      <c r="B850" s="7"/>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3.2" x14ac:dyDescent="0.25">
      <c r="A851" s="2"/>
      <c r="B851" s="7"/>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3.2" x14ac:dyDescent="0.25">
      <c r="A852" s="2"/>
      <c r="B852" s="7"/>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3.2" x14ac:dyDescent="0.25">
      <c r="A853" s="2"/>
      <c r="B853" s="7"/>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3.2" x14ac:dyDescent="0.25">
      <c r="A854" s="2"/>
      <c r="B854" s="7"/>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3.2" x14ac:dyDescent="0.25">
      <c r="A855" s="2"/>
      <c r="B855" s="7"/>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3.2" x14ac:dyDescent="0.25">
      <c r="A856" s="2"/>
      <c r="B856" s="7"/>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3.2" x14ac:dyDescent="0.25">
      <c r="A857" s="2"/>
      <c r="B857" s="7"/>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3.2" x14ac:dyDescent="0.25">
      <c r="A858" s="2"/>
      <c r="B858" s="7"/>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3.2" x14ac:dyDescent="0.25">
      <c r="A859" s="2"/>
      <c r="B859" s="7"/>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3.2" x14ac:dyDescent="0.25">
      <c r="A860" s="2"/>
      <c r="B860" s="7"/>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3.2" x14ac:dyDescent="0.25">
      <c r="A861" s="2"/>
      <c r="B861" s="7"/>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3.2" x14ac:dyDescent="0.25">
      <c r="A862" s="2"/>
      <c r="B862" s="7"/>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3.2" x14ac:dyDescent="0.25">
      <c r="A863" s="2"/>
      <c r="B863" s="7"/>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3.2" x14ac:dyDescent="0.25">
      <c r="A864" s="2"/>
      <c r="B864" s="7"/>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3.2" x14ac:dyDescent="0.25">
      <c r="A865" s="2"/>
      <c r="B865" s="7"/>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3.2" x14ac:dyDescent="0.25">
      <c r="A866" s="2"/>
      <c r="B866" s="7"/>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3.2" x14ac:dyDescent="0.25">
      <c r="A867" s="2"/>
      <c r="B867" s="7"/>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3.2" x14ac:dyDescent="0.25">
      <c r="A868" s="2"/>
      <c r="B868" s="7"/>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3.2" x14ac:dyDescent="0.25">
      <c r="A869" s="2"/>
      <c r="B869" s="7"/>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3.2" x14ac:dyDescent="0.25">
      <c r="A870" s="2"/>
      <c r="B870" s="7"/>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3.2" x14ac:dyDescent="0.25">
      <c r="A871" s="2"/>
      <c r="B871" s="7"/>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3.2" x14ac:dyDescent="0.25">
      <c r="A872" s="2"/>
      <c r="B872" s="7"/>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3.2" x14ac:dyDescent="0.25">
      <c r="A873" s="2"/>
      <c r="B873" s="7"/>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3.2" x14ac:dyDescent="0.25">
      <c r="A874" s="2"/>
      <c r="B874" s="7"/>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3.2" x14ac:dyDescent="0.25">
      <c r="A875" s="2"/>
      <c r="B875" s="7"/>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3.2" x14ac:dyDescent="0.25">
      <c r="A876" s="2"/>
      <c r="B876" s="7"/>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3.2" x14ac:dyDescent="0.25">
      <c r="A877" s="2"/>
      <c r="B877" s="7"/>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3.2" x14ac:dyDescent="0.25">
      <c r="A878" s="2"/>
      <c r="B878" s="7"/>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3.2" x14ac:dyDescent="0.25">
      <c r="A879" s="2"/>
      <c r="B879" s="7"/>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3.2" x14ac:dyDescent="0.25">
      <c r="A880" s="2"/>
      <c r="B880" s="7"/>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3.2" x14ac:dyDescent="0.25">
      <c r="A881" s="2"/>
      <c r="B881" s="7"/>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3.2" x14ac:dyDescent="0.25">
      <c r="A882" s="2"/>
      <c r="B882" s="7"/>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3.2" x14ac:dyDescent="0.25">
      <c r="A883" s="2"/>
      <c r="B883" s="7"/>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3.2" x14ac:dyDescent="0.25">
      <c r="A884" s="2"/>
      <c r="B884" s="7"/>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3.2" x14ac:dyDescent="0.25">
      <c r="A885" s="2"/>
      <c r="B885" s="7"/>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3.2" x14ac:dyDescent="0.25">
      <c r="A886" s="2"/>
      <c r="B886" s="7"/>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3.2" x14ac:dyDescent="0.25">
      <c r="A887" s="2"/>
      <c r="B887" s="7"/>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3.2" x14ac:dyDescent="0.25">
      <c r="A888" s="2"/>
      <c r="B888" s="7"/>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3.2" x14ac:dyDescent="0.25">
      <c r="A889" s="2"/>
      <c r="B889" s="7"/>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3.2" x14ac:dyDescent="0.25">
      <c r="A890" s="2"/>
      <c r="B890" s="7"/>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3.2" x14ac:dyDescent="0.25">
      <c r="A891" s="2"/>
      <c r="B891" s="7"/>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3.2" x14ac:dyDescent="0.25">
      <c r="A892" s="2"/>
      <c r="B892" s="7"/>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3.2" x14ac:dyDescent="0.25">
      <c r="A893" s="2"/>
      <c r="B893" s="7"/>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3.2" x14ac:dyDescent="0.25">
      <c r="A894" s="2"/>
      <c r="B894" s="7"/>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3.2" x14ac:dyDescent="0.25">
      <c r="A895" s="2"/>
      <c r="B895" s="7"/>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3.2" x14ac:dyDescent="0.25">
      <c r="A896" s="2"/>
      <c r="B896" s="7"/>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3.2" x14ac:dyDescent="0.25">
      <c r="A897" s="2"/>
      <c r="B897" s="7"/>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3.2" x14ac:dyDescent="0.25">
      <c r="A898" s="2"/>
      <c r="B898" s="7"/>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3.2" x14ac:dyDescent="0.25">
      <c r="A899" s="2"/>
      <c r="B899" s="7"/>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3.2" x14ac:dyDescent="0.25">
      <c r="A900" s="2"/>
      <c r="B900" s="7"/>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3.2" x14ac:dyDescent="0.25">
      <c r="A901" s="2"/>
      <c r="B901" s="7"/>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3.2" x14ac:dyDescent="0.25">
      <c r="A902" s="2"/>
      <c r="B902" s="7"/>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3.2" x14ac:dyDescent="0.25">
      <c r="A903" s="2"/>
      <c r="B903" s="7"/>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3.2" x14ac:dyDescent="0.25">
      <c r="A904" s="2"/>
      <c r="B904" s="7"/>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3.2" x14ac:dyDescent="0.25">
      <c r="A905" s="2"/>
      <c r="B905" s="7"/>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3.2" x14ac:dyDescent="0.25">
      <c r="A906" s="2"/>
      <c r="B906" s="7"/>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3.2" x14ac:dyDescent="0.25">
      <c r="A907" s="2"/>
      <c r="B907" s="7"/>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3.2" x14ac:dyDescent="0.25">
      <c r="A908" s="2"/>
      <c r="B908" s="7"/>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3.2" x14ac:dyDescent="0.25">
      <c r="A909" s="2"/>
      <c r="B909" s="7"/>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3.2" x14ac:dyDescent="0.25">
      <c r="A910" s="2"/>
      <c r="B910" s="7"/>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3.2" x14ac:dyDescent="0.25">
      <c r="A911" s="2"/>
      <c r="B911" s="7"/>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3.2" x14ac:dyDescent="0.25">
      <c r="A912" s="2"/>
      <c r="B912" s="7"/>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3.2" x14ac:dyDescent="0.25">
      <c r="A913" s="2"/>
      <c r="B913" s="7"/>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3.2" x14ac:dyDescent="0.25">
      <c r="A914" s="2"/>
      <c r="B914" s="7"/>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3.2" x14ac:dyDescent="0.25">
      <c r="A915" s="2"/>
      <c r="B915" s="7"/>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3.2" x14ac:dyDescent="0.25">
      <c r="A916" s="2"/>
      <c r="B916" s="7"/>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3.2" x14ac:dyDescent="0.25">
      <c r="A917" s="2"/>
      <c r="B917" s="7"/>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3.2" x14ac:dyDescent="0.25">
      <c r="A918" s="2"/>
      <c r="B918" s="7"/>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3.2" x14ac:dyDescent="0.25">
      <c r="A919" s="2"/>
      <c r="B919" s="7"/>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3.2" x14ac:dyDescent="0.25">
      <c r="A920" s="2"/>
      <c r="B920" s="7"/>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3.2" x14ac:dyDescent="0.25">
      <c r="A921" s="2"/>
      <c r="B921" s="7"/>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3.2" x14ac:dyDescent="0.25">
      <c r="A922" s="2"/>
      <c r="B922" s="7"/>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3.2" x14ac:dyDescent="0.25">
      <c r="A923" s="2"/>
      <c r="B923" s="7"/>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3.2" x14ac:dyDescent="0.25">
      <c r="A924" s="2"/>
      <c r="B924" s="7"/>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3.2" x14ac:dyDescent="0.25">
      <c r="A925" s="2"/>
      <c r="B925" s="7"/>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3.2" x14ac:dyDescent="0.25">
      <c r="A926" s="2"/>
      <c r="B926" s="7"/>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3.2" x14ac:dyDescent="0.25">
      <c r="A927" s="2"/>
      <c r="B927" s="7"/>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3.2" x14ac:dyDescent="0.25">
      <c r="A928" s="2"/>
      <c r="B928" s="7"/>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3.2" x14ac:dyDescent="0.25">
      <c r="A929" s="2"/>
      <c r="B929" s="7"/>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3.2" x14ac:dyDescent="0.25">
      <c r="A930" s="2"/>
      <c r="B930" s="7"/>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3.2" x14ac:dyDescent="0.25">
      <c r="A931" s="2"/>
      <c r="B931" s="7"/>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3.2" x14ac:dyDescent="0.25">
      <c r="A932" s="2"/>
      <c r="B932" s="7"/>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3.2" x14ac:dyDescent="0.25">
      <c r="A933" s="2"/>
      <c r="B933" s="7"/>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3.2" x14ac:dyDescent="0.25">
      <c r="A934" s="2"/>
      <c r="B934" s="7"/>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3.2" x14ac:dyDescent="0.25">
      <c r="A935" s="2"/>
      <c r="B935" s="7"/>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3.2" x14ac:dyDescent="0.25">
      <c r="A936" s="2"/>
      <c r="B936" s="7"/>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3.2" x14ac:dyDescent="0.25">
      <c r="A937" s="2"/>
      <c r="B937" s="7"/>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3.2" x14ac:dyDescent="0.25">
      <c r="A938" s="2"/>
      <c r="B938" s="7"/>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3.2" x14ac:dyDescent="0.25">
      <c r="A939" s="2"/>
      <c r="B939" s="7"/>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3.2" x14ac:dyDescent="0.25">
      <c r="A940" s="2"/>
      <c r="B940" s="7"/>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3.2" x14ac:dyDescent="0.25">
      <c r="A941" s="2"/>
      <c r="B941" s="7"/>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3.2" x14ac:dyDescent="0.25">
      <c r="A942" s="2"/>
      <c r="B942" s="7"/>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3.2" x14ac:dyDescent="0.25">
      <c r="A943" s="2"/>
      <c r="B943" s="7"/>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3.2" x14ac:dyDescent="0.25">
      <c r="A944" s="2"/>
      <c r="B944" s="7"/>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3.2" x14ac:dyDescent="0.25">
      <c r="A945" s="2"/>
      <c r="B945" s="7"/>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3.2" x14ac:dyDescent="0.25">
      <c r="A946" s="2"/>
      <c r="B946" s="7"/>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3.2" x14ac:dyDescent="0.25">
      <c r="A947" s="2"/>
      <c r="B947" s="7"/>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3.2" x14ac:dyDescent="0.25">
      <c r="A948" s="2"/>
      <c r="B948" s="7"/>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3.2" x14ac:dyDescent="0.25">
      <c r="A949" s="2"/>
      <c r="B949" s="7"/>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3.2" x14ac:dyDescent="0.25">
      <c r="A950" s="2"/>
      <c r="B950" s="7"/>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3.2" x14ac:dyDescent="0.25">
      <c r="A951" s="2"/>
      <c r="B951" s="7"/>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3.2" x14ac:dyDescent="0.25">
      <c r="A952" s="2"/>
      <c r="B952" s="7"/>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3.2" x14ac:dyDescent="0.25">
      <c r="A953" s="2"/>
      <c r="B953" s="7"/>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3.2" x14ac:dyDescent="0.25">
      <c r="A954" s="2"/>
      <c r="B954" s="7"/>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3.2" x14ac:dyDescent="0.25">
      <c r="A955" s="2"/>
      <c r="B955" s="7"/>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3.2" x14ac:dyDescent="0.25">
      <c r="A956" s="2"/>
      <c r="B956" s="7"/>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3.2" x14ac:dyDescent="0.25">
      <c r="A957" s="2"/>
      <c r="B957" s="7"/>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3.2" x14ac:dyDescent="0.25">
      <c r="A958" s="2"/>
      <c r="B958" s="7"/>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3.2" x14ac:dyDescent="0.25">
      <c r="A959" s="2"/>
      <c r="B959" s="7"/>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3.2" x14ac:dyDescent="0.25">
      <c r="A960" s="2"/>
      <c r="B960" s="7"/>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3.2" x14ac:dyDescent="0.25">
      <c r="A961" s="2"/>
      <c r="B961" s="7"/>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3.2" x14ac:dyDescent="0.25">
      <c r="A962" s="2"/>
      <c r="B962" s="7"/>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3.2" x14ac:dyDescent="0.25">
      <c r="A963" s="2"/>
      <c r="B963" s="7"/>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3.2" x14ac:dyDescent="0.25">
      <c r="A964" s="2"/>
      <c r="B964" s="7"/>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3.2" x14ac:dyDescent="0.25">
      <c r="A965" s="2"/>
      <c r="B965" s="7"/>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3.2" x14ac:dyDescent="0.25">
      <c r="A966" s="2"/>
      <c r="B966" s="7"/>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3.2" x14ac:dyDescent="0.25">
      <c r="A967" s="2"/>
      <c r="B967" s="7"/>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3.2" x14ac:dyDescent="0.25">
      <c r="A968" s="2"/>
      <c r="B968" s="7"/>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3.2" x14ac:dyDescent="0.25">
      <c r="A969" s="2"/>
      <c r="B969" s="7"/>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3.2" x14ac:dyDescent="0.25">
      <c r="A970" s="2"/>
      <c r="B970" s="7"/>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3.2" x14ac:dyDescent="0.25">
      <c r="A971" s="2"/>
      <c r="B971" s="7"/>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3.2" x14ac:dyDescent="0.25">
      <c r="A972" s="2"/>
      <c r="B972" s="7"/>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3.2" x14ac:dyDescent="0.25">
      <c r="A973" s="2"/>
      <c r="B973" s="7"/>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3.2" x14ac:dyDescent="0.25">
      <c r="A974" s="2"/>
      <c r="B974" s="7"/>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3.2" x14ac:dyDescent="0.25">
      <c r="A975" s="2"/>
      <c r="B975" s="7"/>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3.2" x14ac:dyDescent="0.25">
      <c r="A976" s="2"/>
      <c r="B976" s="7"/>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3.2" x14ac:dyDescent="0.25">
      <c r="A977" s="2"/>
      <c r="B977" s="7"/>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3.2" x14ac:dyDescent="0.25">
      <c r="A978" s="2"/>
      <c r="B978" s="7"/>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3.2" x14ac:dyDescent="0.25">
      <c r="A979" s="2"/>
      <c r="B979" s="7"/>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3.2" x14ac:dyDescent="0.25">
      <c r="A980" s="2"/>
      <c r="B980" s="7"/>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3.2" x14ac:dyDescent="0.25">
      <c r="A981" s="2"/>
      <c r="B981" s="7"/>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3.2" x14ac:dyDescent="0.25">
      <c r="A982" s="2"/>
      <c r="B982" s="7"/>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3.2" x14ac:dyDescent="0.25">
      <c r="A983" s="2"/>
      <c r="B983" s="7"/>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3.2" x14ac:dyDescent="0.25">
      <c r="A984" s="2"/>
      <c r="B984" s="7"/>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3.2" x14ac:dyDescent="0.25">
      <c r="A985" s="2"/>
      <c r="B985" s="7"/>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3.2" x14ac:dyDescent="0.25">
      <c r="A986" s="2"/>
      <c r="B986" s="7"/>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3.2" x14ac:dyDescent="0.25">
      <c r="A987" s="2"/>
      <c r="B987" s="7"/>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3.2" x14ac:dyDescent="0.25">
      <c r="A988" s="2"/>
      <c r="B988" s="7"/>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3.2" x14ac:dyDescent="0.25">
      <c r="A989" s="2"/>
      <c r="B989" s="7"/>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3.2" x14ac:dyDescent="0.25">
      <c r="A990" s="2"/>
      <c r="B990" s="7"/>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3.2" x14ac:dyDescent="0.25">
      <c r="A991" s="2"/>
      <c r="B991" s="7"/>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3.2" x14ac:dyDescent="0.25">
      <c r="A992" s="2"/>
      <c r="B992" s="7"/>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3.2" x14ac:dyDescent="0.25">
      <c r="A993" s="2"/>
      <c r="B993" s="7"/>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3.2" x14ac:dyDescent="0.25">
      <c r="A994" s="2"/>
      <c r="B994" s="7"/>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3.2" x14ac:dyDescent="0.25">
      <c r="A995" s="2"/>
      <c r="B995" s="7"/>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3.2" x14ac:dyDescent="0.25">
      <c r="A996" s="2"/>
      <c r="B996" s="7"/>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3.2" x14ac:dyDescent="0.25">
      <c r="A997" s="2"/>
      <c r="B997" s="7"/>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3.2" x14ac:dyDescent="0.25">
      <c r="A998" s="2"/>
      <c r="B998" s="7"/>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3.2" x14ac:dyDescent="0.25">
      <c r="A999" s="2"/>
      <c r="B999" s="7"/>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3.2" x14ac:dyDescent="0.25">
      <c r="A1000" s="2"/>
      <c r="B1000" s="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ef="E8" r:id="rId1" display="https://zenodo.org/records/7912264" xr:uid="{A4BB157A-B2D0-4428-B4D0-5FE1731120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sharan janapala</cp:lastModifiedBy>
  <dcterms:modified xsi:type="dcterms:W3CDTF">2025-12-10T11:08:45Z</dcterms:modified>
</cp:coreProperties>
</file>